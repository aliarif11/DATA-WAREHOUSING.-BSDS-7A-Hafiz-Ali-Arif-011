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hipments_Unified" sheetId="2" state="visible" r:id="rId2"/>
    <sheet xmlns:r="http://schemas.openxmlformats.org/officeDocument/2006/relationships" name="T1 Classify" sheetId="3" state="visible" r:id="rId3"/>
    <sheet xmlns:r="http://schemas.openxmlformats.org/officeDocument/2006/relationships" name="T2 Grain" sheetId="4" state="visible" r:id="rId4"/>
    <sheet xmlns:r="http://schemas.openxmlformats.org/officeDocument/2006/relationships" name="T3 Additivity" sheetId="5" state="visible" r:id="rId5"/>
    <sheet xmlns:r="http://schemas.openxmlformats.org/officeDocument/2006/relationships" name="T4 DimCity" sheetId="6" state="visible" r:id="rId6"/>
    <sheet xmlns:r="http://schemas.openxmlformats.org/officeDocument/2006/relationships" name="T5 Other Dimensions" sheetId="7" state="visible" r:id="rId7"/>
    <sheet xmlns:r="http://schemas.openxmlformats.org/officeDocument/2006/relationships" name="T6 FactShipment" sheetId="8" state="visible" r:id="rId8"/>
    <sheet xmlns:r="http://schemas.openxmlformats.org/officeDocument/2006/relationships" name="T7 Reconcile" sheetId="9" state="visible" r:id="rId9"/>
  </sheets>
  <definedNames/>
  <calcPr calcId="124519" calcMode="auto" fullCalcOnLoad="1" forceFullCalc="1"/>
</workbook>
</file>

<file path=xl/styles.xml><?xml version="1.0" encoding="utf-8"?>
<styleSheet xmlns="http://schemas.openxmlformats.org/spreadsheetml/2006/main">
  <numFmts count="2">
    <numFmt numFmtId="164" formatCode="dd-mmm-yyyy"/>
    <numFmt numFmtId="165" formatCode="0.0000"/>
  </numFmts>
  <fonts count="16">
    <font>
      <name val="Calibri"/>
      <family val="2"/>
      <color theme="1"/>
      <sz val="11"/>
      <scheme val="minor"/>
    </font>
    <font>
      <name val="Calibri"/>
      <b val="1"/>
      <color rgb="00FFFFFF"/>
      <sz val="16"/>
    </font>
    <font>
      <name val="Calibri"/>
      <color rgb="00FFFFFF"/>
      <sz val="10"/>
    </font>
    <font>
      <name val="Calibri"/>
      <b val="1"/>
      <color rgb="00005A8C"/>
      <sz val="11"/>
    </font>
    <font>
      <name val="Calibri"/>
      <color rgb="0016202E"/>
      <sz val="10"/>
    </font>
    <font>
      <name val="Calibri"/>
      <sz val="10"/>
    </font>
    <font>
      <name val="Calibri"/>
      <b val="1"/>
      <color rgb="00FFFFFF"/>
      <sz val="10"/>
    </font>
    <font>
      <name val="Calibri"/>
      <b val="1"/>
      <color rgb="00005A8C"/>
      <sz val="10"/>
    </font>
    <font>
      <name val="Calibri"/>
      <color rgb="005B6573"/>
      <sz val="9"/>
    </font>
    <font>
      <name val="Calibri"/>
      <b val="1"/>
      <sz val="10"/>
    </font>
    <font>
      <name val="Consolas"/>
      <sz val="9"/>
    </font>
    <font>
      <name val="Calibri"/>
      <i val="1"/>
      <color rgb="007A4E00"/>
      <sz val="9"/>
    </font>
    <font>
      <name val="Calibri"/>
      <b val="1"/>
      <color rgb="00922B21"/>
      <sz val="10"/>
    </font>
    <font>
      <name val="Calibri"/>
      <b val="1"/>
      <color rgb="007A4E00"/>
      <sz val="9"/>
    </font>
    <font>
      <name val="Calibri"/>
      <b val="1"/>
      <color rgb="0016202E"/>
      <sz val="12"/>
    </font>
    <font>
      <name val="Calibri"/>
      <b val="1"/>
      <sz val="12"/>
    </font>
  </fonts>
  <fills count="17">
    <fill>
      <patternFill/>
    </fill>
    <fill>
      <patternFill patternType="gray125"/>
    </fill>
    <fill>
      <patternFill patternType="solid">
        <fgColor rgb="0016202E"/>
      </patternFill>
    </fill>
    <fill>
      <patternFill patternType="solid">
        <fgColor rgb="002C3A4F"/>
      </patternFill>
    </fill>
    <fill>
      <patternFill patternType="solid">
        <fgColor rgb="00EAF2F8"/>
      </patternFill>
    </fill>
    <fill>
      <patternFill patternType="solid">
        <fgColor rgb="00F4F7FA"/>
      </patternFill>
    </fill>
    <fill>
      <patternFill patternType="solid">
        <fgColor rgb="00005A8C"/>
      </patternFill>
    </fill>
    <fill>
      <patternFill patternType="solid">
        <fgColor rgb="00FFF8DC"/>
      </patternFill>
    </fill>
    <fill>
      <patternFill patternType="solid">
        <fgColor rgb="00EDF1F5"/>
      </patternFill>
    </fill>
    <fill>
      <patternFill patternType="solid">
        <fgColor rgb="00D5F5E3"/>
      </patternFill>
    </fill>
    <fill>
      <patternFill patternType="solid">
        <fgColor rgb="00FADBD8"/>
      </patternFill>
    </fill>
    <fill>
      <patternFill patternType="solid">
        <fgColor rgb="00E8F6EF"/>
      </patternFill>
    </fill>
    <fill>
      <patternFill patternType="solid">
        <fgColor rgb="00FFF3CD"/>
      </patternFill>
    </fill>
    <fill>
      <patternFill patternType="solid">
        <fgColor rgb="00FDEDEC"/>
      </patternFill>
    </fill>
    <fill>
      <patternFill patternType="solid">
        <fgColor rgb="005B6573"/>
      </patternFill>
    </fill>
    <fill>
      <patternFill patternType="solid">
        <fgColor rgb="007A4E00"/>
      </patternFill>
    </fill>
    <fill>
      <patternFill patternType="solid">
        <fgColor rgb="00FDF6E3"/>
      </patternFill>
    </fill>
  </fills>
  <borders count="11">
    <border>
      <left/>
      <right/>
      <top/>
      <bottom/>
      <diagonal/>
    </border>
    <border>
      <left style="thin">
        <color rgb="00C9D4E3"/>
      </left>
      <right style="thin">
        <color rgb="00C9D4E3"/>
      </right>
      <top style="thin">
        <color rgb="00C9D4E3"/>
      </top>
      <bottom style="thin">
        <color rgb="00C9D4E3"/>
      </bottom>
    </border>
    <border>
      <left/>
      <right/>
      <top style="thin">
        <color rgb="00C9D4E3"/>
      </top>
      <bottom/>
      <diagonal/>
    </border>
    <border>
      <left/>
      <right style="thin">
        <color rgb="00C9D4E3"/>
      </right>
      <top style="thin">
        <color rgb="00C9D4E3"/>
      </top>
      <bottom/>
      <diagonal/>
    </border>
    <border>
      <left/>
      <right/>
      <top style="thin">
        <color rgb="00C9D4E3"/>
      </top>
      <bottom style="thin">
        <color rgb="00C9D4E3"/>
      </bottom>
      <diagonal/>
    </border>
    <border>
      <left/>
      <right style="thin">
        <color rgb="00C9D4E3"/>
      </right>
      <top style="thin">
        <color rgb="00C9D4E3"/>
      </top>
      <bottom style="thin">
        <color rgb="00C9D4E3"/>
      </bottom>
      <diagonal/>
    </border>
    <border>
      <left style="thin">
        <color rgb="00C9D4E3"/>
      </left>
      <right/>
      <top/>
      <bottom/>
      <diagonal/>
    </border>
    <border>
      <left/>
      <right style="thin">
        <color rgb="00C9D4E3"/>
      </right>
      <top/>
      <bottom/>
      <diagonal/>
    </border>
    <border>
      <left style="thin">
        <color rgb="00C9D4E3"/>
      </left>
      <right/>
      <top/>
      <bottom style="thin">
        <color rgb="00C9D4E3"/>
      </bottom>
      <diagonal/>
    </border>
    <border>
      <left/>
      <right style="thin">
        <color rgb="00C9D4E3"/>
      </right>
      <top/>
      <bottom style="thin">
        <color rgb="00C9D4E3"/>
      </bottom>
      <diagonal/>
    </border>
    <border>
      <left/>
      <right/>
      <top/>
      <bottom style="thin">
        <color rgb="00C9D4E3"/>
      </bottom>
      <diagonal/>
    </border>
  </borders>
  <cellStyleXfs count="1">
    <xf numFmtId="0" fontId="0" fillId="0" borderId="0"/>
  </cellStyleXfs>
  <cellXfs count="68">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wrapText="1" indent="1"/>
    </xf>
    <xf numFmtId="0" fontId="3" fillId="4" borderId="0" applyAlignment="1" pivotButton="0" quotePrefix="0" xfId="0">
      <alignment vertical="center" wrapText="1" indent="1"/>
    </xf>
    <xf numFmtId="0" fontId="4" fillId="5" borderId="0" applyAlignment="1" pivotButton="0" quotePrefix="0" xfId="0">
      <alignment vertical="center" wrapText="1" indent="1"/>
    </xf>
    <xf numFmtId="0" fontId="5" fillId="0" borderId="0" applyAlignment="1" pivotButton="0" quotePrefix="0" xfId="0">
      <alignment vertical="top" wrapText="1"/>
    </xf>
    <xf numFmtId="0" fontId="6" fillId="6" borderId="1" applyAlignment="1" pivotButton="0" quotePrefix="0" xfId="0">
      <alignment horizontal="center" vertical="center" wrapText="1"/>
    </xf>
    <xf numFmtId="0" fontId="7" fillId="0" borderId="1" applyAlignment="1" pivotButton="0" quotePrefix="0" xfId="0">
      <alignment horizontal="center" vertical="center"/>
    </xf>
    <xf numFmtId="0" fontId="5" fillId="0" borderId="1" applyAlignment="1" pivotButton="0" quotePrefix="0" xfId="0">
      <alignment vertical="top" wrapText="1"/>
    </xf>
    <xf numFmtId="0" fontId="5" fillId="0" borderId="1" applyAlignment="1" pivotButton="0" quotePrefix="0" xfId="0">
      <alignment horizontal="center" vertical="center"/>
    </xf>
    <xf numFmtId="0" fontId="8" fillId="0" borderId="1" applyAlignment="1" pivotButton="0" quotePrefix="0" xfId="0">
      <alignment vertical="top" wrapText="1"/>
    </xf>
    <xf numFmtId="0" fontId="9" fillId="0" borderId="1" applyAlignment="1" pivotButton="0" quotePrefix="0" xfId="0">
      <alignment horizontal="right"/>
    </xf>
    <xf numFmtId="0" fontId="9" fillId="0" borderId="1" applyAlignment="1" pivotButton="0" quotePrefix="0" xfId="0">
      <alignment horizontal="center" vertical="center"/>
    </xf>
    <xf numFmtId="0" fontId="5" fillId="7" borderId="1" pivotButton="0" quotePrefix="0" xfId="0"/>
    <xf numFmtId="0" fontId="5" fillId="8" borderId="1" pivotButton="0" quotePrefix="0" xfId="0"/>
    <xf numFmtId="0" fontId="5" fillId="9" borderId="1" pivotButton="0" quotePrefix="0" xfId="0"/>
    <xf numFmtId="0" fontId="5" fillId="10" borderId="1" pivotButton="0" quotePrefix="0" xfId="0"/>
    <xf numFmtId="0" fontId="5" fillId="11" borderId="1" pivotButton="0" quotePrefix="0" xfId="0"/>
    <xf numFmtId="0" fontId="5" fillId="8" borderId="1" applyAlignment="1" pivotButton="0" quotePrefix="0" xfId="0">
      <alignment vertical="top" wrapText="1"/>
    </xf>
    <xf numFmtId="0" fontId="5" fillId="7" borderId="1" applyAlignment="1" pivotButton="0" quotePrefix="0" xfId="0">
      <alignment vertical="top" wrapText="1"/>
    </xf>
    <xf numFmtId="0" fontId="10" fillId="8" borderId="1" pivotButton="0" quotePrefix="0" xfId="0"/>
    <xf numFmtId="164" fontId="5" fillId="8" borderId="1" pivotButton="0" quotePrefix="0" xfId="0"/>
    <xf numFmtId="3" fontId="5" fillId="8" borderId="1" pivotButton="0" quotePrefix="0" xfId="0"/>
    <xf numFmtId="3" fontId="9" fillId="0" borderId="1" pivotButton="0" quotePrefix="0" xfId="0"/>
    <xf numFmtId="0" fontId="11" fillId="12" borderId="0" applyAlignment="1" pivotButton="0" quotePrefix="0" xfId="0">
      <alignment vertical="center" wrapText="1" indent="1"/>
    </xf>
    <xf numFmtId="0" fontId="5" fillId="7" borderId="1" applyAlignment="1" pivotButton="0" quotePrefix="0" xfId="0">
      <alignment horizontal="center" vertical="center"/>
    </xf>
    <xf numFmtId="0" fontId="5" fillId="4" borderId="1" applyAlignment="1" pivotButton="0" quotePrefix="0" xfId="0">
      <alignment vertical="top" wrapText="1"/>
    </xf>
    <xf numFmtId="0" fontId="5" fillId="0" borderId="0" pivotButton="0" quotePrefix="0" xfId="0"/>
    <xf numFmtId="0" fontId="8" fillId="5" borderId="1" applyAlignment="1" pivotButton="0" quotePrefix="0" xfId="0">
      <alignment vertical="top" wrapText="1"/>
    </xf>
    <xf numFmtId="0" fontId="5" fillId="13" borderId="1" applyAlignment="1" pivotButton="0" quotePrefix="0" xfId="0">
      <alignment vertical="top" wrapText="1"/>
    </xf>
    <xf numFmtId="0" fontId="10" fillId="8" borderId="1" applyAlignment="1" pivotButton="0" quotePrefix="0" xfId="0">
      <alignment vertical="top" wrapText="1"/>
    </xf>
    <xf numFmtId="165" fontId="10" fillId="8" borderId="1" applyAlignment="1" pivotButton="0" quotePrefix="0" xfId="0">
      <alignment horizontal="center" vertical="center"/>
    </xf>
    <xf numFmtId="10" fontId="10" fillId="8" borderId="1" applyAlignment="1" pivotButton="0" quotePrefix="0" xfId="0">
      <alignment horizontal="center" vertical="center"/>
    </xf>
    <xf numFmtId="0" fontId="8" fillId="0" borderId="0" applyAlignment="1" pivotButton="0" quotePrefix="0" xfId="0">
      <alignment vertical="top" wrapText="1"/>
    </xf>
    <xf numFmtId="0" fontId="9" fillId="8" borderId="1" applyAlignment="1" pivotButton="0" quotePrefix="0" xfId="0">
      <alignment horizontal="center" vertical="center"/>
    </xf>
    <xf numFmtId="0" fontId="8" fillId="7" borderId="1" applyAlignment="1" pivotButton="0" quotePrefix="0" xfId="0">
      <alignment vertical="top" wrapText="1"/>
    </xf>
    <xf numFmtId="0" fontId="5" fillId="8" borderId="1" applyAlignment="1" pivotButton="0" quotePrefix="0" xfId="0">
      <alignment horizontal="center" vertical="center"/>
    </xf>
    <xf numFmtId="0" fontId="12" fillId="13" borderId="1" applyAlignment="1" pivotButton="0" quotePrefix="0" xfId="0">
      <alignment vertical="top" wrapText="1"/>
    </xf>
    <xf numFmtId="0" fontId="8" fillId="8" borderId="1" applyAlignment="1" pivotButton="0" quotePrefix="0" xfId="0">
      <alignment vertical="top" wrapText="1"/>
    </xf>
    <xf numFmtId="0" fontId="13" fillId="0" borderId="1" applyAlignment="1" pivotButton="0" quotePrefix="0" xfId="0">
      <alignment vertical="top" wrapText="1"/>
    </xf>
    <xf numFmtId="0" fontId="0" fillId="0" borderId="4" pivotButton="0" quotePrefix="0" xfId="0"/>
    <xf numFmtId="0" fontId="0" fillId="0" borderId="5" pivotButton="0" quotePrefix="0" xfId="0"/>
    <xf numFmtId="164" fontId="5" fillId="8" borderId="1" applyAlignment="1" pivotButton="0" quotePrefix="0" xfId="0">
      <alignment horizontal="center" vertical="center"/>
    </xf>
    <xf numFmtId="0" fontId="5" fillId="0" borderId="1" applyAlignment="1" pivotButton="0" quotePrefix="0" xfId="0">
      <alignment horizontal="right"/>
    </xf>
    <xf numFmtId="0" fontId="6" fillId="14" borderId="1" applyAlignment="1" pivotButton="0" quotePrefix="0" xfId="0">
      <alignment horizontal="center" vertical="center"/>
    </xf>
    <xf numFmtId="0" fontId="6" fillId="6" borderId="1" applyAlignment="1" pivotButton="0" quotePrefix="0" xfId="0">
      <alignment horizontal="center" vertical="center"/>
    </xf>
    <xf numFmtId="0" fontId="6" fillId="15" borderId="1" applyAlignment="1" pivotButton="0" quotePrefix="0" xfId="0">
      <alignment horizontal="center" vertical="center"/>
    </xf>
    <xf numFmtId="3" fontId="5" fillId="7" borderId="1" applyAlignment="1" pivotButton="0" quotePrefix="0" xfId="0">
      <alignment horizontal="center" vertical="center"/>
    </xf>
    <xf numFmtId="0" fontId="8" fillId="16" borderId="1" applyAlignment="1" pivotButton="0" quotePrefix="0" xfId="0">
      <alignment horizontal="center" vertical="center"/>
    </xf>
    <xf numFmtId="0" fontId="9" fillId="0" borderId="1" pivotButton="0" quotePrefix="0" xfId="0"/>
    <xf numFmtId="3" fontId="9" fillId="0" borderId="1" applyAlignment="1" pivotButton="0" quotePrefix="0" xfId="0">
      <alignment horizontal="center" vertical="center"/>
    </xf>
    <xf numFmtId="3" fontId="5" fillId="8" borderId="1" applyAlignment="1" pivotButton="0" quotePrefix="0" xfId="0">
      <alignment horizontal="center" vertical="center"/>
    </xf>
    <xf numFmtId="2" fontId="9" fillId="0" borderId="1" applyAlignment="1" pivotButton="0" quotePrefix="0" xfId="0">
      <alignment horizontal="center" vertical="center"/>
    </xf>
    <xf numFmtId="165" fontId="5" fillId="8" borderId="1" applyAlignment="1" pivotButton="0" quotePrefix="0" xfId="0">
      <alignment horizontal="center" vertical="center"/>
    </xf>
    <xf numFmtId="0" fontId="14" fillId="0" borderId="1" applyAlignment="1" pivotButton="0" quotePrefix="0" xfId="0">
      <alignment horizontal="right"/>
    </xf>
    <xf numFmtId="0" fontId="15" fillId="0" borderId="1" applyAlignment="1" pivotButton="0" quotePrefix="0" xfId="0">
      <alignment horizontal="center" vertical="center"/>
    </xf>
    <xf numFmtId="0" fontId="8" fillId="0" borderId="1" applyAlignment="1" pivotButton="0" quotePrefix="0" xfId="0">
      <alignment horizontal="right"/>
    </xf>
    <xf numFmtId="164" fontId="5" fillId="8" borderId="1" pivotButton="0" quotePrefix="0" xfId="0"/>
    <xf numFmtId="0" fontId="0" fillId="0" borderId="3" pivotButton="0" quotePrefix="0" xfId="0"/>
    <xf numFmtId="0" fontId="0" fillId="0" borderId="2"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6" pivotButton="0" quotePrefix="0" xfId="0"/>
    <xf numFmtId="0" fontId="0" fillId="0" borderId="7" pivotButton="0" quotePrefix="0" xfId="0"/>
    <xf numFmtId="165" fontId="10" fillId="8" borderId="1" applyAlignment="1" pivotButton="0" quotePrefix="0" xfId="0">
      <alignment horizontal="center" vertical="center"/>
    </xf>
    <xf numFmtId="164" fontId="5" fillId="8" borderId="1" applyAlignment="1" pivotButton="0" quotePrefix="0" xfId="0">
      <alignment horizontal="center" vertical="center"/>
    </xf>
    <xf numFmtId="165" fontId="5"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6202E"/>
    <outlinePr summaryBelow="1" summaryRight="1"/>
    <pageSetUpPr/>
  </sheetPr>
  <dimension ref="A1:F38"/>
  <sheetViews>
    <sheetView showGridLines="0" workbookViewId="0">
      <pane ySplit="3" topLeftCell="A4" activePane="bottomLeft" state="frozen"/>
      <selection pane="bottomLeft" activeCell="A1" sqref="A1"/>
    </sheetView>
  </sheetViews>
  <sheetFormatPr baseColWidth="8" defaultRowHeight="15"/>
  <cols>
    <col width="6" customWidth="1" min="1" max="1"/>
    <col width="34" customWidth="1" min="2" max="2"/>
    <col width="46" customWidth="1" min="3" max="3"/>
    <col width="12" customWidth="1" min="4" max="4"/>
    <col width="12" customWidth="1" min="5" max="5"/>
    <col width="34" customWidth="1" min="6" max="6"/>
    <col width="14" customWidth="1" min="7" max="7"/>
    <col width="14" customWidth="1" min="8" max="8"/>
    <col width="14" customWidth="1" min="9" max="9"/>
    <col width="14" customWidth="1" min="10" max="10"/>
  </cols>
  <sheetData>
    <row r="1" ht="30" customHeight="1">
      <c r="A1" s="1" t="inlineStr">
        <is>
          <t>PakFreight Star Builder — Week 3 Activity</t>
        </is>
      </c>
    </row>
    <row r="2" ht="30" customHeight="1">
      <c r="A2" s="2" t="inlineStr">
        <is>
          <t>Data Warehousing &amp; Business Intelligence · Week 3 — Fact &amp; Dimension Tables · CLO2 · The Superior University, Lahore</t>
        </is>
      </c>
    </row>
    <row r="4" ht="22" customHeight="1">
      <c r="A4" s="3" t="inlineStr">
        <is>
          <t>THE SITUATION</t>
        </is>
      </c>
    </row>
    <row r="5" ht="62" customHeight="1">
      <c r="A5" s="4" t="inlineStr">
        <is>
          <t>Week 2 ended with one flat table: Shipments_Unified, 34 rows, 578,650 kg, PKR 4,808,000. It answers simple questions and fails at every interesting one — there is no province column, no month column, Karachi is spelled five different ways, and nothing in it remembers what a route used to be called. Today you split it into one fact table and five dimensions, and the totals must not move by a single kilogram.</t>
        </is>
      </c>
    </row>
    <row r="7" ht="22" customHeight="1">
      <c r="A7" s="3" t="inlineStr">
        <is>
          <t>HOW TO WORK</t>
        </is>
      </c>
    </row>
    <row r="8" ht="28" customHeight="1">
      <c r="A8" s="5" t="inlineStr">
        <is>
          <t>•  Teams of 3. Name one person each: Modeller (owns the grain), Conformer (owns DimCity), Reconciler (owns T7 and has veto power over 'it looks fine').</t>
        </is>
      </c>
    </row>
    <row r="9" ht="28" customHeight="1">
      <c r="A9" s="5" t="inlineStr">
        <is>
          <t>•  Do the tasks in order. T6 cannot be filled in before T4 and T5 exist — that is not a quirk of this workbook, it is why dimensions are always loaded before facts.</t>
        </is>
      </c>
    </row>
    <row r="10" ht="28" customHeight="1">
      <c r="A10" s="5" t="inlineStr">
        <is>
          <t>•  Type only in CREAM cells. GREY cells are source data as received — never edit them.</t>
        </is>
      </c>
    </row>
    <row r="11" ht="28" customHeight="1">
      <c r="A11" s="5" t="inlineStr">
        <is>
          <t>•  T7 marks itself. Every '✘ fix' means something earlier is still wrong. Do not submit with a red cell and a hopeful note.</t>
        </is>
      </c>
    </row>
    <row r="12" ht="28" customHeight="1">
      <c r="A12" s="5" t="inlineStr">
        <is>
          <t>•  Save as  W3_Star_&lt;team number&gt;.xlsx  and submit on the LMS before Week 4, with the Power BI file described in PakFreight_W3_PowerBI_Lab_Guide.md.</t>
        </is>
      </c>
    </row>
    <row r="14" ht="22" customHeight="1">
      <c r="A14" s="3" t="inlineStr">
        <is>
          <t>THE SEVEN TASKS</t>
        </is>
      </c>
    </row>
    <row r="15" ht="30" customHeight="1">
      <c r="A15" s="6" t="inlineStr">
        <is>
          <t>#</t>
        </is>
      </c>
      <c r="B15" s="6" t="inlineStr">
        <is>
          <t>Task</t>
        </is>
      </c>
      <c r="C15" s="6" t="inlineStr">
        <is>
          <t>What you produce</t>
        </is>
      </c>
      <c r="D15" s="6" t="inlineStr">
        <is>
          <t>180-min class</t>
        </is>
      </c>
      <c r="E15" s="6" t="inlineStr">
        <is>
          <t>120-min class</t>
        </is>
      </c>
      <c r="F15" s="6" t="inlineStr">
        <is>
          <t>Where it comes from in the lecture</t>
        </is>
      </c>
    </row>
    <row r="16" ht="26" customHeight="1">
      <c r="A16" s="7" t="inlineStr">
        <is>
          <t>T1</t>
        </is>
      </c>
      <c r="B16" s="8" t="inlineStr">
        <is>
          <t>Classify every column</t>
        </is>
      </c>
      <c r="C16" s="8" t="inlineStr">
        <is>
          <t>Fact, dimension attribute, degenerate or drop</t>
        </is>
      </c>
      <c r="D16" s="9" t="n">
        <v>10</v>
      </c>
      <c r="E16" s="9" t="n">
        <v>8</v>
      </c>
      <c r="F16" s="10" t="inlineStr">
        <is>
          <t>Slides 9-17 · what belongs where</t>
        </is>
      </c>
    </row>
    <row r="17" ht="26" customHeight="1">
      <c r="A17" s="7" t="inlineStr">
        <is>
          <t>T2</t>
        </is>
      </c>
      <c r="B17" s="8" t="inlineStr">
        <is>
          <t>Declare the grain</t>
        </is>
      </c>
      <c r="C17" s="8" t="inlineStr">
        <is>
          <t>One sentence, no 'and' — for PakFreight and 4 new processes</t>
        </is>
      </c>
      <c r="D17" s="9" t="n">
        <v>12</v>
      </c>
      <c r="E17" s="9" t="n">
        <v>10</v>
      </c>
      <c r="F17" s="10" t="inlineStr">
        <is>
          <t>Slides 19-24 · Kimball's four steps</t>
        </is>
      </c>
    </row>
    <row r="18" ht="26" customHeight="1">
      <c r="A18" s="7" t="inlineStr">
        <is>
          <t>T3</t>
        </is>
      </c>
      <c r="B18" s="8" t="inlineStr">
        <is>
          <t>Additivity audit</t>
        </is>
      </c>
      <c r="C18" s="8" t="inlineStr">
        <is>
          <t>Additive, semi-additive, non-additive — and prove the ratio trap</t>
        </is>
      </c>
      <c r="D18" s="9" t="n">
        <v>10</v>
      </c>
      <c r="E18" s="9" t="n">
        <v>7</v>
      </c>
      <c r="F18" s="10" t="inlineStr">
        <is>
          <t>Slide 10 · 8.06 vs 8.31</t>
        </is>
      </c>
    </row>
    <row r="19" ht="26" customHeight="1">
      <c r="A19" s="7" t="inlineStr">
        <is>
          <t>T4</t>
        </is>
      </c>
      <c r="B19" s="8" t="inlineStr">
        <is>
          <t>Build DimCity</t>
        </is>
      </c>
      <c r="C19" s="8" t="inlineStr">
        <is>
          <t>Conform 23 raw location strings into 14 cities, mint the keys</t>
        </is>
      </c>
      <c r="D19" s="9" t="n">
        <v>20</v>
      </c>
      <c r="E19" s="9" t="n">
        <v>15</v>
      </c>
      <c r="F19" s="10" t="inlineStr">
        <is>
          <t>Slides 11, 30, 43 · surrogate keys</t>
        </is>
      </c>
    </row>
    <row r="20" ht="26" customHeight="1">
      <c r="A20" s="7" t="inlineStr">
        <is>
          <t>T5</t>
        </is>
      </c>
      <c r="B20" s="8" t="inlineStr">
        <is>
          <t>Build the other four dimensions</t>
        </is>
      </c>
      <c r="C20" s="8" t="inlineStr">
        <is>
          <t>DimRoute, DimMode, DimStatus, DimDate</t>
        </is>
      </c>
      <c r="D20" s="9" t="n">
        <v>20</v>
      </c>
      <c r="E20" s="9" t="n">
        <v>15</v>
      </c>
      <c r="F20" s="10" t="inlineStr">
        <is>
          <t>Slides 31-34, 38, 44</t>
        </is>
      </c>
    </row>
    <row r="21" ht="26" customHeight="1">
      <c r="A21" s="7" t="inlineStr">
        <is>
          <t>T6</t>
        </is>
      </c>
      <c r="B21" s="8" t="inlineStr">
        <is>
          <t>Build FactShipment</t>
        </is>
      </c>
      <c r="C21" s="8" t="inlineStr">
        <is>
          <t>Swap every text column for an integer key</t>
        </is>
      </c>
      <c r="D21" s="9" t="n">
        <v>15</v>
      </c>
      <c r="E21" s="9" t="n">
        <v>12</v>
      </c>
      <c r="F21" s="10" t="inlineStr">
        <is>
          <t>Slides 9, 44 · merge on the key only</t>
        </is>
      </c>
    </row>
    <row r="22" ht="26" customHeight="1">
      <c r="A22" s="7" t="inlineStr">
        <is>
          <t>T7</t>
        </is>
      </c>
      <c r="B22" s="8" t="inlineStr">
        <is>
          <t>Reconcile</t>
        </is>
      </c>
      <c r="C22" s="8" t="inlineStr">
        <is>
          <t>Thirteen checks. All thirteen must read 'pass'</t>
        </is>
      </c>
      <c r="D22" s="9" t="n">
        <v>8</v>
      </c>
      <c r="E22" s="9" t="n">
        <v>8</v>
      </c>
      <c r="F22" s="10" t="inlineStr">
        <is>
          <t>Slide 46 · validate before you trust</t>
        </is>
      </c>
    </row>
    <row r="23">
      <c r="C23" s="11" t="inlineStr">
        <is>
          <t>Total minutes</t>
        </is>
      </c>
      <c r="D23" s="12" t="n">
        <v>95</v>
      </c>
      <c r="E23" s="12" t="n">
        <v>75</v>
      </c>
    </row>
    <row r="25" ht="22" customHeight="1">
      <c r="A25" s="3" t="inlineStr">
        <is>
          <t>COLOUR LEGEND</t>
        </is>
      </c>
    </row>
    <row r="26">
      <c r="A26" s="13" t="inlineStr"/>
      <c r="B26" s="8" t="inlineStr">
        <is>
          <t>You type here</t>
        </is>
      </c>
    </row>
    <row r="27">
      <c r="A27" s="14" t="inlineStr"/>
      <c r="B27" s="8" t="inlineStr">
        <is>
          <t>Source data — do not edit</t>
        </is>
      </c>
    </row>
    <row r="28">
      <c r="A28" s="15" t="inlineStr"/>
      <c r="B28" s="8" t="inlineStr">
        <is>
          <t>✔ pass — check satisfied</t>
        </is>
      </c>
    </row>
    <row r="29">
      <c r="A29" s="16" t="inlineStr"/>
      <c r="B29" s="8" t="inlineStr">
        <is>
          <t>✘ fix — go back and correct it</t>
        </is>
      </c>
    </row>
    <row r="30">
      <c r="A30" s="17" t="inlineStr"/>
      <c r="B30" s="8" t="inlineStr">
        <is>
          <t>Model answer (teacher key only)</t>
        </is>
      </c>
    </row>
    <row r="32" ht="22" customHeight="1">
      <c r="A32" s="3" t="inlineStr">
        <is>
          <t>THE GRAIN CONTRACT — WRITE IT ONCE, OBEY IT EVERYWHERE</t>
        </is>
      </c>
    </row>
    <row r="33" ht="30" customHeight="1">
      <c r="A33" s="6" t="inlineStr"/>
      <c r="B33" s="6" t="inlineStr">
        <is>
          <t>Decision</t>
        </is>
      </c>
      <c r="C33" s="6" t="inlineStr">
        <is>
          <t>Your answer (T2 fills this in)</t>
        </is>
      </c>
      <c r="D33" s="6" t="inlineStr"/>
      <c r="E33" s="6" t="inlineStr"/>
      <c r="F33" s="6" t="inlineStr">
        <is>
          <t>Why it matters</t>
        </is>
      </c>
    </row>
    <row r="34" ht="30" customHeight="1">
      <c r="B34" s="8" t="inlineStr">
        <is>
          <t>Business process</t>
        </is>
      </c>
      <c r="C34" s="18" t="inlineStr">
        <is>
          <t>Freight shipment movement</t>
        </is>
      </c>
      <c r="D34" s="40" t="n"/>
      <c r="E34" s="41" t="n"/>
      <c r="F34" s="10" t="inlineStr">
        <is>
          <t>Step 1 of Kimball's four steps — pick a process, not a department.</t>
        </is>
      </c>
    </row>
    <row r="35" ht="30" customHeight="1">
      <c r="B35" s="8" t="inlineStr">
        <is>
          <t>Grain (one row = ?)</t>
        </is>
      </c>
      <c r="C35" s="19" t="inlineStr"/>
      <c r="D35" s="40" t="n"/>
      <c r="E35" s="41" t="n"/>
      <c r="F35" s="10" t="inlineStr">
        <is>
          <t>Step 2. If your sentence needs the word 'and', you have two fact tables.</t>
        </is>
      </c>
    </row>
    <row r="36" ht="30" customHeight="1">
      <c r="B36" s="8" t="inlineStr">
        <is>
          <t>Fact table type</t>
        </is>
      </c>
      <c r="C36" s="19" t="inlineStr"/>
      <c r="D36" s="40" t="n"/>
      <c r="E36" s="41" t="n"/>
      <c r="F36" s="10" t="inlineStr">
        <is>
          <t>Transaction, periodic snapshot or accumulating snapshot.</t>
        </is>
      </c>
    </row>
    <row r="37" ht="30" customHeight="1">
      <c r="B37" s="8" t="inlineStr">
        <is>
          <t>Dimensions</t>
        </is>
      </c>
      <c r="C37" s="19" t="inlineStr"/>
      <c r="D37" s="40" t="n"/>
      <c r="E37" s="41" t="n"/>
      <c r="F37" s="10" t="inlineStr">
        <is>
          <t>Step 3 — and they must follow from the grain, not from your imagination.</t>
        </is>
      </c>
    </row>
    <row r="38" ht="30" customHeight="1">
      <c r="B38" s="8" t="inlineStr">
        <is>
          <t>Measures</t>
        </is>
      </c>
      <c r="C38" s="19" t="inlineStr"/>
      <c r="D38" s="40" t="n"/>
      <c r="E38" s="41" t="n"/>
      <c r="F38" s="10" t="inlineStr">
        <is>
          <t>Step 4 — additive wherever you can manage it.</t>
        </is>
      </c>
    </row>
  </sheetData>
  <mergeCells count="18">
    <mergeCell ref="A2:F2"/>
    <mergeCell ref="A11:F11"/>
    <mergeCell ref="C36:E36"/>
    <mergeCell ref="A10:F10"/>
    <mergeCell ref="C37:E37"/>
    <mergeCell ref="A14:F14"/>
    <mergeCell ref="A1:F1"/>
    <mergeCell ref="A5:F5"/>
    <mergeCell ref="A9:F9"/>
    <mergeCell ref="A32:F32"/>
    <mergeCell ref="A8:F8"/>
    <mergeCell ref="A12:F12"/>
    <mergeCell ref="A4:F4"/>
    <mergeCell ref="C35:E35"/>
    <mergeCell ref="C34:E34"/>
    <mergeCell ref="A7:F7"/>
    <mergeCell ref="A25:F25"/>
    <mergeCell ref="C38:E38"/>
  </mergeCells>
  <pageMargins left="0.75" right="0.75" top="1" bottom="1" header="0.5" footer="0.5"/>
</worksheet>
</file>

<file path=xl/worksheets/sheet2.xml><?xml version="1.0" encoding="utf-8"?>
<worksheet xmlns="http://schemas.openxmlformats.org/spreadsheetml/2006/main">
  <sheetPr>
    <tabColor rgb="005B6573"/>
    <outlinePr summaryBelow="1" summaryRight="1"/>
    <pageSetUpPr/>
  </sheetPr>
  <dimension ref="A1:H41"/>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24" customWidth="1" min="3" max="3"/>
    <col width="22" customWidth="1" min="4" max="4"/>
    <col width="12" customWidth="1" min="5" max="5"/>
    <col width="12" customWidth="1" min="6" max="6"/>
    <col width="12" customWidth="1" min="7" max="7"/>
    <col width="14" customWidth="1" min="8" max="8"/>
  </cols>
  <sheetData>
    <row r="1" ht="30" customHeight="1">
      <c r="A1" s="1" t="inlineStr">
        <is>
          <t>Shipments_Unified  —  the Week 2 output</t>
        </is>
      </c>
    </row>
    <row r="2" ht="30" customHeight="1">
      <c r="A2" s="2" t="inlineStr">
        <is>
          <t>34 rows · 578,650 kg · PKR 4,808,000. Grey means source data: read it, point formulas at it, never edit it. This whole sheet becomes FactShipment in T6.</t>
        </is>
      </c>
    </row>
    <row r="4" ht="30" customHeight="1">
      <c r="A4" s="6" t="inlineStr">
        <is>
          <t>ShipmentID</t>
        </is>
      </c>
      <c r="B4" s="6" t="inlineStr">
        <is>
          <t>ShipDate</t>
        </is>
      </c>
      <c r="C4" s="6" t="inlineStr">
        <is>
          <t>Origin</t>
        </is>
      </c>
      <c r="D4" s="6" t="inlineStr">
        <is>
          <t>Destination</t>
        </is>
      </c>
      <c r="E4" s="6" t="inlineStr">
        <is>
          <t>WeightKG</t>
        </is>
      </c>
      <c r="F4" s="6" t="inlineStr">
        <is>
          <t>CostPKR</t>
        </is>
      </c>
      <c r="G4" s="6" t="inlineStr">
        <is>
          <t>Status</t>
        </is>
      </c>
      <c r="H4" s="6" t="inlineStr">
        <is>
          <t>SourceSystem</t>
        </is>
      </c>
    </row>
    <row r="5">
      <c r="A5" s="20" t="inlineStr">
        <is>
          <t>MR-1001</t>
        </is>
      </c>
      <c r="B5" s="57" t="n">
        <v>46054</v>
      </c>
      <c r="C5" s="14" t="inlineStr">
        <is>
          <t>Karachi Port</t>
        </is>
      </c>
      <c r="D5" s="14" t="inlineStr">
        <is>
          <t>Lahore Dry Port</t>
        </is>
      </c>
      <c r="E5" s="22" t="n">
        <v>18000</v>
      </c>
      <c r="F5" s="22" t="n">
        <v>142000</v>
      </c>
      <c r="G5" s="14" t="inlineStr">
        <is>
          <t>Delivered</t>
        </is>
      </c>
      <c r="H5" s="14" t="inlineStr">
        <is>
          <t>Marine</t>
        </is>
      </c>
    </row>
    <row r="6">
      <c r="A6" s="20" t="inlineStr">
        <is>
          <t>MR-1002</t>
        </is>
      </c>
      <c r="B6" s="57" t="n">
        <v>46055</v>
      </c>
      <c r="C6" s="14" t="inlineStr">
        <is>
          <t>Port Qasim</t>
        </is>
      </c>
      <c r="D6" s="14" t="inlineStr">
        <is>
          <t>Faisalabad Dry Port</t>
        </is>
      </c>
      <c r="E6" s="22" t="n">
        <v>22500</v>
      </c>
      <c r="F6" s="22" t="n">
        <v>171000</v>
      </c>
      <c r="G6" s="14" t="inlineStr">
        <is>
          <t>Delivered</t>
        </is>
      </c>
      <c r="H6" s="14" t="inlineStr">
        <is>
          <t>Marine</t>
        </is>
      </c>
    </row>
    <row r="7">
      <c r="A7" s="20" t="inlineStr">
        <is>
          <t>MR-1003</t>
        </is>
      </c>
      <c r="B7" s="57" t="n">
        <v>46056</v>
      </c>
      <c r="C7" s="14" t="inlineStr">
        <is>
          <t>Karachi Port</t>
        </is>
      </c>
      <c r="D7" s="14" t="inlineStr">
        <is>
          <t>Lahore Dry Port</t>
        </is>
      </c>
      <c r="E7" s="22" t="n">
        <v>15000</v>
      </c>
      <c r="F7" s="22" t="n">
        <v>119000</v>
      </c>
      <c r="G7" s="14" t="inlineStr">
        <is>
          <t>In Transit</t>
        </is>
      </c>
      <c r="H7" s="14" t="inlineStr">
        <is>
          <t>Marine</t>
        </is>
      </c>
    </row>
    <row r="8">
      <c r="A8" s="20" t="inlineStr">
        <is>
          <t>MR-1004</t>
        </is>
      </c>
      <c r="B8" s="57" t="n">
        <v>46057</v>
      </c>
      <c r="C8" s="14" t="inlineStr">
        <is>
          <t>Gwadar Port</t>
        </is>
      </c>
      <c r="D8" s="14" t="inlineStr">
        <is>
          <t>Quetta</t>
        </is>
      </c>
      <c r="E8" s="22" t="n">
        <v>20000</v>
      </c>
      <c r="F8" s="22" t="n">
        <v>188000</v>
      </c>
      <c r="G8" s="14" t="inlineStr">
        <is>
          <t>Delivered</t>
        </is>
      </c>
      <c r="H8" s="14" t="inlineStr">
        <is>
          <t>Marine</t>
        </is>
      </c>
    </row>
    <row r="9">
      <c r="A9" s="20" t="inlineStr">
        <is>
          <t>MR-1005</t>
        </is>
      </c>
      <c r="B9" s="57" t="n">
        <v>46058</v>
      </c>
      <c r="C9" s="14" t="inlineStr">
        <is>
          <t>Port Qasim</t>
        </is>
      </c>
      <c r="D9" s="14" t="inlineStr">
        <is>
          <t>Multan</t>
        </is>
      </c>
      <c r="E9" s="22" t="n">
        <v>16500</v>
      </c>
      <c r="F9" s="22" t="n">
        <v>128000</v>
      </c>
      <c r="G9" s="14" t="inlineStr">
        <is>
          <t>Delivered</t>
        </is>
      </c>
      <c r="H9" s="14" t="inlineStr">
        <is>
          <t>Marine</t>
        </is>
      </c>
    </row>
    <row r="10">
      <c r="A10" s="20" t="inlineStr">
        <is>
          <t>MR-1006</t>
        </is>
      </c>
      <c r="B10" s="57" t="n">
        <v>46059</v>
      </c>
      <c r="C10" s="14" t="inlineStr">
        <is>
          <t>Karachi Port</t>
        </is>
      </c>
      <c r="D10" s="14" t="inlineStr">
        <is>
          <t>Sialkot Dry Port</t>
        </is>
      </c>
      <c r="E10" s="22" t="n">
        <v>19000</v>
      </c>
      <c r="F10" s="22" t="n">
        <v>154000</v>
      </c>
      <c r="G10" s="14" t="inlineStr">
        <is>
          <t>Delayed</t>
        </is>
      </c>
      <c r="H10" s="14" t="inlineStr">
        <is>
          <t>Marine</t>
        </is>
      </c>
    </row>
    <row r="11">
      <c r="A11" s="20" t="inlineStr">
        <is>
          <t>MR-1007</t>
        </is>
      </c>
      <c r="B11" s="57" t="n">
        <v>46060</v>
      </c>
      <c r="C11" s="14" t="inlineStr">
        <is>
          <t>Port Qasim</t>
        </is>
      </c>
      <c r="D11" s="14" t="inlineStr">
        <is>
          <t>Lahore Dry Port</t>
        </is>
      </c>
      <c r="E11" s="22" t="n">
        <v>14000</v>
      </c>
      <c r="F11" s="22" t="n">
        <v>109000</v>
      </c>
      <c r="G11" s="14" t="inlineStr">
        <is>
          <t>Delivered</t>
        </is>
      </c>
      <c r="H11" s="14" t="inlineStr">
        <is>
          <t>Marine</t>
        </is>
      </c>
    </row>
    <row r="12">
      <c r="A12" s="20" t="inlineStr">
        <is>
          <t>MR-1008</t>
        </is>
      </c>
      <c r="B12" s="57" t="n">
        <v>46062</v>
      </c>
      <c r="C12" s="14" t="inlineStr">
        <is>
          <t>Karachi Port</t>
        </is>
      </c>
      <c r="D12" s="14" t="inlineStr">
        <is>
          <t>Peshawar</t>
        </is>
      </c>
      <c r="E12" s="22" t="n">
        <v>21000</v>
      </c>
      <c r="F12" s="22" t="n">
        <v>197000</v>
      </c>
      <c r="G12" s="14" t="inlineStr">
        <is>
          <t>In Transit</t>
        </is>
      </c>
      <c r="H12" s="14" t="inlineStr">
        <is>
          <t>Marine</t>
        </is>
      </c>
    </row>
    <row r="13">
      <c r="A13" s="20" t="inlineStr">
        <is>
          <t>MR-1009</t>
        </is>
      </c>
      <c r="B13" s="57" t="n">
        <v>46063</v>
      </c>
      <c r="C13" s="14" t="inlineStr">
        <is>
          <t>Gwadar Port</t>
        </is>
      </c>
      <c r="D13" s="14" t="inlineStr">
        <is>
          <t>Karachi Cantt</t>
        </is>
      </c>
      <c r="E13" s="22" t="n">
        <v>17500</v>
      </c>
      <c r="F13" s="22" t="n">
        <v>98000</v>
      </c>
      <c r="G13" s="14" t="inlineStr">
        <is>
          <t>Delivered</t>
        </is>
      </c>
      <c r="H13" s="14" t="inlineStr">
        <is>
          <t>Marine</t>
        </is>
      </c>
    </row>
    <row r="14">
      <c r="A14" s="20" t="inlineStr">
        <is>
          <t>MR-1010</t>
        </is>
      </c>
      <c r="B14" s="57" t="n">
        <v>46064</v>
      </c>
      <c r="C14" s="14" t="inlineStr">
        <is>
          <t>Port Qasim</t>
        </is>
      </c>
      <c r="D14" s="14" t="inlineStr">
        <is>
          <t>Islamabad Dry Port</t>
        </is>
      </c>
      <c r="E14" s="22" t="n">
        <v>15500</v>
      </c>
      <c r="F14" s="22" t="n">
        <v>139000</v>
      </c>
      <c r="G14" s="14" t="inlineStr">
        <is>
          <t>Delivered</t>
        </is>
      </c>
      <c r="H14" s="14" t="inlineStr">
        <is>
          <t>Marine</t>
        </is>
      </c>
    </row>
    <row r="15">
      <c r="A15" s="20" t="inlineStr">
        <is>
          <t>MR-1011</t>
        </is>
      </c>
      <c r="B15" s="57" t="n">
        <v>46065</v>
      </c>
      <c r="C15" s="14" t="inlineStr">
        <is>
          <t>Karachi Port</t>
        </is>
      </c>
      <c r="D15" s="14" t="inlineStr">
        <is>
          <t>Hyderabad</t>
        </is>
      </c>
      <c r="E15" s="22" t="n">
        <v>13500</v>
      </c>
      <c r="F15" s="22" t="n">
        <v>61000</v>
      </c>
      <c r="G15" s="14" t="inlineStr">
        <is>
          <t>In Transit</t>
        </is>
      </c>
      <c r="H15" s="14" t="inlineStr">
        <is>
          <t>Marine</t>
        </is>
      </c>
    </row>
    <row r="16">
      <c r="A16" s="20" t="inlineStr">
        <is>
          <t>MR-1012</t>
        </is>
      </c>
      <c r="B16" s="57" t="n">
        <v>46066</v>
      </c>
      <c r="C16" s="14" t="inlineStr">
        <is>
          <t>Port Qasim</t>
        </is>
      </c>
      <c r="D16" s="14" t="inlineStr">
        <is>
          <t>Lahore Dry Port</t>
        </is>
      </c>
      <c r="E16" s="22" t="n">
        <v>14000</v>
      </c>
      <c r="F16" s="22" t="n">
        <v>112000</v>
      </c>
      <c r="G16" s="14" t="inlineStr">
        <is>
          <t>Delivered</t>
        </is>
      </c>
      <c r="H16" s="14" t="inlineStr">
        <is>
          <t>Marine</t>
        </is>
      </c>
    </row>
    <row r="17">
      <c r="A17" s="20" t="inlineStr">
        <is>
          <t>RL-45012</t>
        </is>
      </c>
      <c r="B17" s="57" t="n">
        <v>46056</v>
      </c>
      <c r="C17" s="14" t="inlineStr">
        <is>
          <t>Karachi Cantt</t>
        </is>
      </c>
      <c r="D17" s="14" t="inlineStr">
        <is>
          <t>Lahore</t>
        </is>
      </c>
      <c r="E17" s="22" t="n">
        <v>32500</v>
      </c>
      <c r="F17" s="22" t="n">
        <v>285000</v>
      </c>
      <c r="G17" s="14" t="inlineStr">
        <is>
          <t>Delivered</t>
        </is>
      </c>
      <c r="H17" s="14" t="inlineStr">
        <is>
          <t>Rail</t>
        </is>
      </c>
    </row>
    <row r="18">
      <c r="A18" s="20" t="inlineStr">
        <is>
          <t>RL-45013</t>
        </is>
      </c>
      <c r="B18" s="57" t="n">
        <v>46056</v>
      </c>
      <c r="C18" s="14" t="inlineStr">
        <is>
          <t>Karachi Cantt</t>
        </is>
      </c>
      <c r="D18" s="14" t="inlineStr">
        <is>
          <t>Rawalpindi</t>
        </is>
      </c>
      <c r="E18" s="22" t="n">
        <v>28750</v>
      </c>
      <c r="F18" s="22" t="n">
        <v>301000</v>
      </c>
      <c r="G18" s="14" t="inlineStr">
        <is>
          <t>Delivered</t>
        </is>
      </c>
      <c r="H18" s="14" t="inlineStr">
        <is>
          <t>Rail</t>
        </is>
      </c>
    </row>
    <row r="19">
      <c r="A19" s="20" t="inlineStr">
        <is>
          <t>RL-45014</t>
        </is>
      </c>
      <c r="B19" s="57" t="n">
        <v>46057</v>
      </c>
      <c r="C19" s="14" t="inlineStr">
        <is>
          <t>Pipri Marshalling Yard</t>
        </is>
      </c>
      <c r="D19" s="14" t="inlineStr">
        <is>
          <t>Faisalabad</t>
        </is>
      </c>
      <c r="E19" s="22" t="n">
        <v>30000</v>
      </c>
      <c r="F19" s="22" t="n">
        <v>262000</v>
      </c>
      <c r="G19" s="14" t="inlineStr">
        <is>
          <t>In Transit</t>
        </is>
      </c>
      <c r="H19" s="14" t="inlineStr">
        <is>
          <t>Rail</t>
        </is>
      </c>
    </row>
    <row r="20">
      <c r="A20" s="20" t="inlineStr">
        <is>
          <t>RL-45015</t>
        </is>
      </c>
      <c r="B20" s="57" t="n">
        <v>46058</v>
      </c>
      <c r="C20" s="14" t="inlineStr">
        <is>
          <t>Karachi Cantt</t>
        </is>
      </c>
      <c r="D20" s="14" t="inlineStr">
        <is>
          <t>Multan</t>
        </is>
      </c>
      <c r="E20" s="22" t="n">
        <v>26500</v>
      </c>
      <c r="F20" s="22" t="n">
        <v>198000</v>
      </c>
      <c r="G20" s="14" t="inlineStr">
        <is>
          <t>Delivered</t>
        </is>
      </c>
      <c r="H20" s="14" t="inlineStr">
        <is>
          <t>Rail</t>
        </is>
      </c>
    </row>
    <row r="21">
      <c r="A21" s="20" t="inlineStr">
        <is>
          <t>RL-45016</t>
        </is>
      </c>
      <c r="B21" s="57" t="n">
        <v>46059</v>
      </c>
      <c r="C21" s="14" t="inlineStr">
        <is>
          <t>Pipri Marshalling Yard</t>
        </is>
      </c>
      <c r="D21" s="14" t="inlineStr">
        <is>
          <t>Lahore</t>
        </is>
      </c>
      <c r="E21" s="22" t="n">
        <v>31250</v>
      </c>
      <c r="F21" s="22" t="n">
        <v>276000</v>
      </c>
      <c r="G21" s="14" t="inlineStr">
        <is>
          <t>Delayed</t>
        </is>
      </c>
      <c r="H21" s="14" t="inlineStr">
        <is>
          <t>Rail</t>
        </is>
      </c>
    </row>
    <row r="22">
      <c r="A22" s="20" t="inlineStr">
        <is>
          <t>RL-45017</t>
        </is>
      </c>
      <c r="B22" s="57" t="n">
        <v>46060</v>
      </c>
      <c r="C22" s="14" t="inlineStr">
        <is>
          <t>Karachi Cantt</t>
        </is>
      </c>
      <c r="D22" s="14" t="inlineStr">
        <is>
          <t>Peshawar Cantt</t>
        </is>
      </c>
      <c r="E22" s="22" t="n">
        <v>29000</v>
      </c>
      <c r="F22" s="22" t="n">
        <v>334000</v>
      </c>
      <c r="G22" s="14" t="inlineStr">
        <is>
          <t>Delivered</t>
        </is>
      </c>
      <c r="H22" s="14" t="inlineStr">
        <is>
          <t>Rail</t>
        </is>
      </c>
    </row>
    <row r="23">
      <c r="A23" s="20" t="inlineStr">
        <is>
          <t>RL-45018</t>
        </is>
      </c>
      <c r="B23" s="57" t="n">
        <v>46062</v>
      </c>
      <c r="C23" s="14" t="inlineStr">
        <is>
          <t>Pipri Marshalling Yard</t>
        </is>
      </c>
      <c r="D23" s="14" t="inlineStr">
        <is>
          <t>Rawalpindi</t>
        </is>
      </c>
      <c r="E23" s="22" t="n">
        <v>27500</v>
      </c>
      <c r="F23" s="22" t="n">
        <v>289000</v>
      </c>
      <c r="G23" s="14" t="inlineStr">
        <is>
          <t>Delayed</t>
        </is>
      </c>
      <c r="H23" s="14" t="inlineStr">
        <is>
          <t>Rail</t>
        </is>
      </c>
    </row>
    <row r="24">
      <c r="A24" s="20" t="inlineStr">
        <is>
          <t>RL-45019</t>
        </is>
      </c>
      <c r="B24" s="57" t="n">
        <v>46063</v>
      </c>
      <c r="C24" s="14" t="inlineStr">
        <is>
          <t>Karachi Cantt</t>
        </is>
      </c>
      <c r="D24" s="14" t="inlineStr">
        <is>
          <t>Lahore</t>
        </is>
      </c>
      <c r="E24" s="22" t="n">
        <v>33000</v>
      </c>
      <c r="F24" s="22" t="n">
        <v>291000</v>
      </c>
      <c r="G24" s="14" t="inlineStr">
        <is>
          <t>Delivered</t>
        </is>
      </c>
      <c r="H24" s="14" t="inlineStr">
        <is>
          <t>Rail</t>
        </is>
      </c>
    </row>
    <row r="25">
      <c r="A25" s="20" t="inlineStr">
        <is>
          <t>RL-45020</t>
        </is>
      </c>
      <c r="B25" s="57" t="n">
        <v>46064</v>
      </c>
      <c r="C25" s="14" t="inlineStr">
        <is>
          <t>Karachi Cantt</t>
        </is>
      </c>
      <c r="D25" s="14" t="inlineStr">
        <is>
          <t>Sukkur</t>
        </is>
      </c>
      <c r="E25" s="22" t="n">
        <v>28250</v>
      </c>
      <c r="F25" s="22" t="n">
        <v>142000</v>
      </c>
      <c r="G25" s="14" t="inlineStr">
        <is>
          <t>In Transit</t>
        </is>
      </c>
      <c r="H25" s="14" t="inlineStr">
        <is>
          <t>Rail</t>
        </is>
      </c>
    </row>
    <row r="26">
      <c r="A26" s="20" t="inlineStr">
        <is>
          <t>RL-45021</t>
        </is>
      </c>
      <c r="B26" s="57" t="n">
        <v>46065</v>
      </c>
      <c r="C26" s="14" t="inlineStr">
        <is>
          <t>Pipri Marshalling Yard</t>
        </is>
      </c>
      <c r="D26" s="14" t="inlineStr">
        <is>
          <t>Multan</t>
        </is>
      </c>
      <c r="E26" s="22" t="n">
        <v>28500</v>
      </c>
      <c r="F26" s="22" t="n">
        <v>207000</v>
      </c>
      <c r="G26" s="14" t="inlineStr">
        <is>
          <t>Delivered</t>
        </is>
      </c>
      <c r="H26" s="14" t="inlineStr">
        <is>
          <t>Rail</t>
        </is>
      </c>
    </row>
    <row r="27">
      <c r="A27" s="20" t="inlineStr">
        <is>
          <t>RD-501</t>
        </is>
      </c>
      <c r="B27" s="57" t="n">
        <v>46055</v>
      </c>
      <c r="C27" s="14" t="inlineStr">
        <is>
          <t>Lahore</t>
        </is>
      </c>
      <c r="D27" s="14" t="inlineStr">
        <is>
          <t>Islamabad</t>
        </is>
      </c>
      <c r="E27" s="22" t="n">
        <v>6500</v>
      </c>
      <c r="F27" s="22" t="n">
        <v>58000</v>
      </c>
      <c r="G27" s="14" t="inlineStr">
        <is>
          <t>Delivered</t>
        </is>
      </c>
      <c r="H27" s="14" t="inlineStr">
        <is>
          <t>Road</t>
        </is>
      </c>
    </row>
    <row r="28">
      <c r="A28" s="20" t="inlineStr">
        <is>
          <t>RD-502</t>
        </is>
      </c>
      <c r="B28" s="57" t="n">
        <v>46055</v>
      </c>
      <c r="C28" s="14" t="inlineStr">
        <is>
          <t>Karachi</t>
        </is>
      </c>
      <c r="D28" s="14" t="inlineStr">
        <is>
          <t>Hyderabad</t>
        </is>
      </c>
      <c r="E28" s="22" t="n">
        <v>7200</v>
      </c>
      <c r="F28" s="22" t="n">
        <v>41000</v>
      </c>
      <c r="G28" s="14" t="inlineStr">
        <is>
          <t>Delivered</t>
        </is>
      </c>
      <c r="H28" s="14" t="inlineStr">
        <is>
          <t>Road</t>
        </is>
      </c>
    </row>
    <row r="29">
      <c r="A29" s="20" t="inlineStr">
        <is>
          <t>RD-503</t>
        </is>
      </c>
      <c r="B29" s="57" t="n">
        <v>46056</v>
      </c>
      <c r="C29" s="14" t="inlineStr">
        <is>
          <t>Lahore</t>
        </is>
      </c>
      <c r="D29" s="14" t="inlineStr">
        <is>
          <t>Faisalabad</t>
        </is>
      </c>
      <c r="E29" s="22" t="n">
        <v>5800</v>
      </c>
      <c r="F29" s="22" t="n">
        <v>32000</v>
      </c>
      <c r="G29" s="14" t="inlineStr">
        <is>
          <t>In Transit</t>
        </is>
      </c>
      <c r="H29" s="14" t="inlineStr">
        <is>
          <t>Road</t>
        </is>
      </c>
    </row>
    <row r="30">
      <c r="A30" s="20" t="inlineStr">
        <is>
          <t>RD-504</t>
        </is>
      </c>
      <c r="B30" s="57" t="n">
        <v>46057</v>
      </c>
      <c r="C30" s="14" t="inlineStr">
        <is>
          <t>Multan</t>
        </is>
      </c>
      <c r="D30" s="14" t="inlineStr">
        <is>
          <t>Lahore</t>
        </is>
      </c>
      <c r="E30" s="22" t="n">
        <v>6900</v>
      </c>
      <c r="F30" s="22" t="n">
        <v>61000</v>
      </c>
      <c r="G30" s="14" t="inlineStr">
        <is>
          <t>Delivered</t>
        </is>
      </c>
      <c r="H30" s="14" t="inlineStr">
        <is>
          <t>Road</t>
        </is>
      </c>
    </row>
    <row r="31">
      <c r="A31" s="20" t="inlineStr">
        <is>
          <t>RD-505</t>
        </is>
      </c>
      <c r="B31" s="57" t="n">
        <v>46058</v>
      </c>
      <c r="C31" s="14" t="inlineStr">
        <is>
          <t>Islamabad</t>
        </is>
      </c>
      <c r="D31" s="14" t="inlineStr">
        <is>
          <t>Peshawar</t>
        </is>
      </c>
      <c r="E31" s="22" t="n">
        <v>6100</v>
      </c>
      <c r="F31" s="22" t="n">
        <v>47000</v>
      </c>
      <c r="G31" s="14" t="inlineStr">
        <is>
          <t>Delivered</t>
        </is>
      </c>
      <c r="H31" s="14" t="inlineStr">
        <is>
          <t>Road</t>
        </is>
      </c>
    </row>
    <row r="32">
      <c r="A32" s="20" t="inlineStr">
        <is>
          <t>RD-506</t>
        </is>
      </c>
      <c r="B32" s="57" t="n">
        <v>46059</v>
      </c>
      <c r="C32" s="14" t="inlineStr">
        <is>
          <t>Karachi</t>
        </is>
      </c>
      <c r="D32" s="14" t="inlineStr">
        <is>
          <t>Sukkur</t>
        </is>
      </c>
      <c r="E32" s="22" t="n">
        <v>7400</v>
      </c>
      <c r="F32" s="22" t="n">
        <v>83000</v>
      </c>
      <c r="G32" s="14" t="inlineStr">
        <is>
          <t>Delayed</t>
        </is>
      </c>
      <c r="H32" s="14" t="inlineStr">
        <is>
          <t>Road</t>
        </is>
      </c>
    </row>
    <row r="33">
      <c r="A33" s="20" t="inlineStr">
        <is>
          <t>RD-507</t>
        </is>
      </c>
      <c r="B33" s="57" t="n">
        <v>46060</v>
      </c>
      <c r="C33" s="14" t="inlineStr">
        <is>
          <t>Lahore</t>
        </is>
      </c>
      <c r="D33" s="14" t="inlineStr">
        <is>
          <t>Sialkot</t>
        </is>
      </c>
      <c r="E33" s="22" t="n">
        <v>5900</v>
      </c>
      <c r="F33" s="22" t="n">
        <v>39000</v>
      </c>
      <c r="G33" s="14" t="inlineStr">
        <is>
          <t>Delivered</t>
        </is>
      </c>
      <c r="H33" s="14" t="inlineStr">
        <is>
          <t>Road</t>
        </is>
      </c>
    </row>
    <row r="34">
      <c r="A34" s="20" t="inlineStr">
        <is>
          <t>RD-508</t>
        </is>
      </c>
      <c r="B34" s="57" t="n">
        <v>46062</v>
      </c>
      <c r="C34" s="14" t="inlineStr">
        <is>
          <t>Quetta</t>
        </is>
      </c>
      <c r="D34" s="14" t="inlineStr">
        <is>
          <t>Karachi</t>
        </is>
      </c>
      <c r="E34" s="22" t="n">
        <v>6600</v>
      </c>
      <c r="F34" s="22" t="n">
        <v>92000</v>
      </c>
      <c r="G34" s="14" t="inlineStr">
        <is>
          <t>In Transit</t>
        </is>
      </c>
      <c r="H34" s="14" t="inlineStr">
        <is>
          <t>Road</t>
        </is>
      </c>
    </row>
    <row r="35">
      <c r="A35" s="20" t="inlineStr">
        <is>
          <t>RD-509</t>
        </is>
      </c>
      <c r="B35" s="57" t="n">
        <v>46063</v>
      </c>
      <c r="C35" s="14" t="inlineStr">
        <is>
          <t>Faisalabad</t>
        </is>
      </c>
      <c r="D35" s="14" t="inlineStr">
        <is>
          <t>Multan</t>
        </is>
      </c>
      <c r="E35" s="22" t="n">
        <v>6200</v>
      </c>
      <c r="F35" s="22" t="n">
        <v>44000</v>
      </c>
      <c r="G35" s="14" t="inlineStr">
        <is>
          <t>Delivered</t>
        </is>
      </c>
      <c r="H35" s="14" t="inlineStr">
        <is>
          <t>Road</t>
        </is>
      </c>
    </row>
    <row r="36">
      <c r="A36" s="20" t="inlineStr">
        <is>
          <t>RD-510</t>
        </is>
      </c>
      <c r="B36" s="57" t="n">
        <v>46064</v>
      </c>
      <c r="C36" s="14" t="inlineStr">
        <is>
          <t>Lahore</t>
        </is>
      </c>
      <c r="D36" s="14" t="inlineStr">
        <is>
          <t>Gujranwala</t>
        </is>
      </c>
      <c r="E36" s="22" t="n">
        <v>7000</v>
      </c>
      <c r="F36" s="22" t="n">
        <v>27000</v>
      </c>
      <c r="G36" s="14" t="inlineStr">
        <is>
          <t>Delivered</t>
        </is>
      </c>
      <c r="H36" s="14" t="inlineStr">
        <is>
          <t>Road</t>
        </is>
      </c>
    </row>
    <row r="37">
      <c r="A37" s="20" t="inlineStr">
        <is>
          <t>RD-511</t>
        </is>
      </c>
      <c r="B37" s="57" t="n">
        <v>46065</v>
      </c>
      <c r="C37" s="14" t="inlineStr">
        <is>
          <t>Karachi</t>
        </is>
      </c>
      <c r="D37" s="14" t="inlineStr">
        <is>
          <t>Hyderabad</t>
        </is>
      </c>
      <c r="E37" s="22" t="n">
        <v>5500</v>
      </c>
      <c r="F37" s="22" t="n">
        <v>36000</v>
      </c>
      <c r="G37" s="14" t="inlineStr">
        <is>
          <t>In Transit</t>
        </is>
      </c>
      <c r="H37" s="14" t="inlineStr">
        <is>
          <t>Road</t>
        </is>
      </c>
    </row>
    <row r="38">
      <c r="A38" s="20" t="inlineStr">
        <is>
          <t>RD-512</t>
        </is>
      </c>
      <c r="B38" s="57" t="n">
        <v>46066</v>
      </c>
      <c r="C38" s="14" t="inlineStr">
        <is>
          <t>Rawalpindi</t>
        </is>
      </c>
      <c r="D38" s="14" t="inlineStr">
        <is>
          <t>Abbottabad</t>
        </is>
      </c>
      <c r="E38" s="22" t="n">
        <v>5800</v>
      </c>
      <c r="F38" s="22" t="n">
        <v>45000</v>
      </c>
      <c r="G38" s="14" t="inlineStr">
        <is>
          <t>Delivered</t>
        </is>
      </c>
      <c r="H38" s="14" t="inlineStr">
        <is>
          <t>Road</t>
        </is>
      </c>
    </row>
    <row r="39">
      <c r="D39" s="11" t="inlineStr">
        <is>
          <t>TOTAL</t>
        </is>
      </c>
      <c r="E39" s="23">
        <f>SUM(E5:E38)</f>
        <v/>
      </c>
      <c r="F39" s="23">
        <f>SUM(F5:F38)</f>
        <v/>
      </c>
    </row>
    <row r="41" ht="26" customHeight="1">
      <c r="A41" s="24" t="inlineStr">
        <is>
          <t>Count the distinct dates in column B. There are 12 — not 28. February 2026 has 28 days and PakFreight dispatched nothing on 16 of them. Any 'average per day' computed from this sheet divides by the wrong number, silently. That is what DimDate in T5 is for.</t>
        </is>
      </c>
    </row>
  </sheetData>
  <mergeCells count="3">
    <mergeCell ref="A41:H41"/>
    <mergeCell ref="A2:H2"/>
    <mergeCell ref="A1:H1"/>
  </mergeCells>
  <pageMargins left="0.75" right="0.75" top="1" bottom="1" header="0.5" footer="0.5"/>
</worksheet>
</file>

<file path=xl/worksheets/sheet3.xml><?xml version="1.0" encoding="utf-8"?>
<worksheet xmlns="http://schemas.openxmlformats.org/spreadsheetml/2006/main">
  <sheetPr>
    <tabColor rgb="00005A8C"/>
    <outlinePr summaryBelow="1" summaryRight="1"/>
    <pageSetUpPr/>
  </sheetPr>
  <dimension ref="A1:E27"/>
  <sheetViews>
    <sheetView showGridLines="0" workbookViewId="0">
      <pane ySplit="4" topLeftCell="A5" activePane="bottomLeft" state="frozen"/>
      <selection pane="bottomLeft" activeCell="A1" sqref="A1"/>
    </sheetView>
  </sheetViews>
  <sheetFormatPr baseColWidth="8" defaultRowHeight="15"/>
  <cols>
    <col width="5" customWidth="1" min="1" max="1"/>
    <col width="28" customWidth="1" min="2" max="2"/>
    <col width="11" customWidth="1" min="3" max="3"/>
    <col width="32" customWidth="1" min="4" max="4"/>
    <col width="62" customWidth="1" min="5" max="5"/>
    <col width="3" customWidth="1" min="6" max="6"/>
  </cols>
  <sheetData>
    <row r="1" ht="30" customHeight="1">
      <c r="A1" s="1" t="inlineStr">
        <is>
          <t>T1  ·  Fact, Dimension, Degenerate or Drop?</t>
        </is>
      </c>
    </row>
    <row r="2" ht="30" customHeight="1">
      <c r="A2" s="2" t="inlineStr">
        <is>
          <t>PakFreight's operations team wants twelve more columns added to the warehouse. For each one write F (fact / measure), D (dimension attribute), DD (degenerate dimension) or X (belongs in neither), name the table it should live in, and defend it in one line. Four of the twelve are deliberately tricky.</t>
        </is>
      </c>
    </row>
    <row r="4" ht="30" customHeight="1">
      <c r="A4" s="6" t="inlineStr">
        <is>
          <t>#</t>
        </is>
      </c>
      <c r="B4" s="6" t="inlineStr">
        <is>
          <t>Column the team asked for</t>
        </is>
      </c>
      <c r="C4" s="6" t="inlineStr">
        <is>
          <t>F / D / DD / X</t>
        </is>
      </c>
      <c r="D4" s="6" t="inlineStr">
        <is>
          <t>Which table does it live in?</t>
        </is>
      </c>
      <c r="E4" s="6" t="inlineStr">
        <is>
          <t>Your one-line justification</t>
        </is>
      </c>
    </row>
    <row r="5" ht="26" customHeight="1">
      <c r="A5" s="9" t="n">
        <v>1</v>
      </c>
      <c r="B5" s="20" t="inlineStr">
        <is>
          <t>Driver_Name</t>
        </is>
      </c>
      <c r="C5" s="25" t="inlineStr">
        <is>
          <t>D</t>
        </is>
      </c>
      <c r="D5" s="19" t="inlineStr">
        <is>
          <t>DimDriver</t>
        </is>
      </c>
      <c r="E5" s="19" t="inlineStr">
        <is>
          <t>Driver identity describes the person; keep descriptive driver attributes in a driver dimension.</t>
        </is>
      </c>
    </row>
    <row r="6" ht="26" customHeight="1">
      <c r="A6" s="9" t="n">
        <v>2</v>
      </c>
      <c r="B6" s="20" t="inlineStr">
        <is>
          <t>Days_Late</t>
        </is>
      </c>
      <c r="C6" s="25" t="inlineStr">
        <is>
          <t>F</t>
        </is>
      </c>
      <c r="D6" s="19" t="inlineStr">
        <is>
          <t>FactShipment</t>
        </is>
      </c>
      <c r="E6" s="19" t="inlineStr">
        <is>
          <t>Delay days are a numeric outcome measured at the shipment-leg grain.</t>
        </is>
      </c>
    </row>
    <row r="7" ht="26" customHeight="1">
      <c r="A7" s="9" t="n">
        <v>3</v>
      </c>
      <c r="B7" s="20" t="inlineStr">
        <is>
          <t>Invoice_Number</t>
        </is>
      </c>
      <c r="C7" s="25" t="inlineStr">
        <is>
          <t>DD</t>
        </is>
      </c>
      <c r="D7" s="19" t="inlineStr">
        <is>
          <t>FactShipment</t>
        </is>
      </c>
      <c r="E7" s="19" t="inlineStr">
        <is>
          <t>Invoice number identifies the transaction but has no independent descriptive attributes.</t>
        </is>
      </c>
    </row>
    <row r="8" ht="26" customHeight="1">
      <c r="A8" s="9" t="n">
        <v>4</v>
      </c>
      <c r="B8" s="20" t="inlineStr">
        <is>
          <t>Discount_Percent</t>
        </is>
      </c>
      <c r="C8" s="25" t="inlineStr">
        <is>
          <t>F</t>
        </is>
      </c>
      <c r="D8" s="19" t="inlineStr">
        <is>
          <t>FactShipment</t>
        </is>
      </c>
      <c r="E8" s="19" t="inlineStr">
        <is>
          <t>A percentage is non-additive; retain discount amount and eligible base amount, then divide.</t>
        </is>
      </c>
    </row>
    <row r="9" ht="26" customHeight="1">
      <c r="A9" s="9" t="n">
        <v>5</v>
      </c>
      <c r="B9" s="20" t="inlineStr">
        <is>
          <t>Truck_Registration_No</t>
        </is>
      </c>
      <c r="C9" s="25" t="inlineStr">
        <is>
          <t>D</t>
        </is>
      </c>
      <c r="D9" s="19" t="inlineStr">
        <is>
          <t>DimVehicle</t>
        </is>
      </c>
      <c r="E9" s="19" t="inlineStr">
        <is>
          <t>Registration identifies a vehicle with descriptive attributes, so it merits a vehicle dimension.</t>
        </is>
      </c>
    </row>
    <row r="10" ht="26" customHeight="1">
      <c r="A10" s="9" t="n">
        <v>6</v>
      </c>
      <c r="B10" s="20" t="inlineStr">
        <is>
          <t>Container_Count</t>
        </is>
      </c>
      <c r="C10" s="25" t="inlineStr">
        <is>
          <t>F</t>
        </is>
      </c>
      <c r="D10" s="19" t="inlineStr">
        <is>
          <t>FactShipment</t>
        </is>
      </c>
      <c r="E10" s="19" t="inlineStr">
        <is>
          <t>Container count is an additive quantity at the shipment-leg grain.</t>
        </is>
      </c>
    </row>
    <row r="11" ht="26" customHeight="1">
      <c r="A11" s="9" t="n">
        <v>7</v>
      </c>
      <c r="B11" s="20" t="inlineStr">
        <is>
          <t>Customer_Credit_Rating</t>
        </is>
      </c>
      <c r="C11" s="25" t="inlineStr">
        <is>
          <t>D</t>
        </is>
      </c>
      <c r="D11" s="19" t="inlineStr">
        <is>
          <t>DimCustomer</t>
        </is>
      </c>
      <c r="E11" s="19" t="inlineStr">
        <is>
          <t>Credit rating describes a customer; use history (such as Type 2) when ratings change.</t>
        </is>
      </c>
    </row>
    <row r="12" ht="26" customHeight="1">
      <c r="A12" s="9" t="n">
        <v>8</v>
      </c>
      <c r="B12" s="20" t="inlineStr">
        <is>
          <t>Cost_Per_Tonne_KM</t>
        </is>
      </c>
      <c r="C12" s="25" t="inlineStr">
        <is>
          <t>F</t>
        </is>
      </c>
      <c r="D12" s="19" t="inlineStr">
        <is>
          <t>FactShipment</t>
        </is>
      </c>
      <c r="E12" s="19" t="inlineStr">
        <is>
          <t>Cost per tonne-km is a derived ratio; store cost, tonnes and distance, then calculate.</t>
        </is>
      </c>
    </row>
    <row r="13" ht="26" customHeight="1">
      <c r="A13" s="9" t="n">
        <v>9</v>
      </c>
      <c r="B13" s="20" t="inlineStr">
        <is>
          <t>Row_Inserted_Timestamp</t>
        </is>
      </c>
      <c r="C13" s="25" t="inlineStr">
        <is>
          <t>X</t>
        </is>
      </c>
      <c r="D13" s="19" t="inlineStr">
        <is>
          <t>ETL audit metadata</t>
        </is>
      </c>
      <c r="E13" s="19" t="inlineStr">
        <is>
          <t>Load timestamp supports lineage and operations, not the business dimensional model.</t>
        </is>
      </c>
    </row>
    <row r="14" ht="26" customHeight="1">
      <c r="A14" s="9" t="n">
        <v>10</v>
      </c>
      <c r="B14" s="20" t="inlineStr">
        <is>
          <t>Fuel_Surcharge_PKR</t>
        </is>
      </c>
      <c r="C14" s="25" t="inlineStr">
        <is>
          <t>F</t>
        </is>
      </c>
      <c r="D14" s="19" t="inlineStr">
        <is>
          <t>FactShipment</t>
        </is>
      </c>
      <c r="E14" s="19" t="inlineStr">
        <is>
          <t>Fuel surcharge is a monetary component that can be summed across shipment legs.</t>
        </is>
      </c>
    </row>
    <row r="15" ht="26" customHeight="1">
      <c r="A15" s="9" t="n">
        <v>11</v>
      </c>
      <c r="B15" s="20" t="inlineStr">
        <is>
          <t>Weather_Condition</t>
        </is>
      </c>
      <c r="C15" s="25" t="inlineStr">
        <is>
          <t>D</t>
        </is>
      </c>
      <c r="D15" s="19" t="inlineStr">
        <is>
          <t>DimWeather</t>
        </is>
      </c>
      <c r="E15" s="19" t="inlineStr">
        <is>
          <t>Weather condition is descriptive context for the shipment event.</t>
        </is>
      </c>
    </row>
    <row r="16" ht="26" customHeight="1">
      <c r="A16" s="9" t="n">
        <v>12</v>
      </c>
      <c r="B16" s="20" t="inlineStr">
        <is>
          <t>Is_Hazardous_Cargo</t>
        </is>
      </c>
      <c r="C16" s="25" t="inlineStr">
        <is>
          <t>D</t>
        </is>
      </c>
      <c r="D16" s="19" t="inlineStr">
        <is>
          <t>DimCargo / DimHazard</t>
        </is>
      </c>
      <c r="E16" s="19" t="inlineStr">
        <is>
          <t>Hazard flag describes cargo; model it as a cargo/hazard attribute or small junk dimension.</t>
        </is>
      </c>
    </row>
    <row r="17">
      <c r="B17" s="11" t="inlineStr">
        <is>
          <t>Answered so far</t>
        </is>
      </c>
      <c r="C17" s="12">
        <f>COUNTA(C5:C16)&amp;" / 12"</f>
        <v/>
      </c>
    </row>
    <row r="19" ht="22" customHeight="1">
      <c r="A19" s="3" t="inlineStr">
        <is>
          <t>DEFEND YOUR ANSWERS — THE THREE QUESTIONS WE WILL ASK</t>
        </is>
      </c>
    </row>
    <row r="20" ht="33" customHeight="1">
      <c r="A20" s="26" t="inlineStr">
        <is>
          <t>Which of your X answers would a real analyst fight you over, and what is their best argument?</t>
        </is>
      </c>
      <c r="B20" s="58" t="n"/>
      <c r="C20" s="19" t="inlineStr">
        <is>
          <t>Row_Inserted_Timestamp is the debatable X: an analyst can argue it is useful for lineage, but it belongs in ETL audit metadata, not a business dimension or measure.</t>
        </is>
      </c>
      <c r="D20" s="59" t="n"/>
      <c r="E20" s="58" t="n"/>
    </row>
    <row r="21" ht="33" customHeight="1">
      <c r="A21" s="60" t="n"/>
      <c r="B21" s="61" t="n"/>
      <c r="C21" s="60" t="n"/>
      <c r="D21" s="62" t="n"/>
      <c r="E21" s="61" t="n"/>
    </row>
    <row r="22" ht="30" customHeight="1">
      <c r="A22" s="26" t="inlineStr">
        <is>
          <t>Name one column you marked D that deserves its own dimension table, and three attributes it would carry.</t>
        </is>
      </c>
      <c r="B22" s="58" t="n"/>
      <c r="C22" s="19" t="inlineStr">
        <is>
          <t>Driver_Name merits DimDriver; useful attributes include licence class, home depot and employment/qualification status.</t>
        </is>
      </c>
      <c r="D22" s="59" t="n"/>
      <c r="E22" s="58" t="n"/>
    </row>
    <row r="23" ht="30" customHeight="1">
      <c r="A23" s="60" t="n"/>
      <c r="B23" s="61" t="n"/>
      <c r="C23" s="60" t="n"/>
      <c r="D23" s="62" t="n"/>
      <c r="E23" s="61" t="n"/>
    </row>
    <row r="24" ht="27" customHeight="1">
      <c r="A24" s="26" t="inlineStr">
        <is>
          <t>If Days_Late is a fact, which dimension supplies the deadline it is measured against?</t>
        </is>
      </c>
      <c r="B24" s="58" t="n"/>
      <c r="C24" s="19" t="inlineStr">
        <is>
          <t>The due-date role of DimDate supplies the deadline; compare it with the actual delivery date role to calculate Days_Late.</t>
        </is>
      </c>
      <c r="D24" s="59" t="n"/>
      <c r="E24" s="58" t="n"/>
    </row>
    <row r="25" ht="27" customHeight="1">
      <c r="A25" s="60" t="n"/>
      <c r="B25" s="61" t="n"/>
      <c r="C25" s="60" t="n"/>
      <c r="D25" s="62" t="n"/>
      <c r="E25" s="61" t="n"/>
    </row>
    <row r="27" ht="26" customHeight="1">
      <c r="A27" s="24" t="inlineStr">
        <is>
          <t>Marking: 6 marks for the twelve verdicts (half a mark each), 3 marks for the justifications, 3 marks for the three questions. A wrong verdict with a sharp justification scores more than a right verdict with none — the reasoning is the skill.</t>
        </is>
      </c>
    </row>
  </sheetData>
  <mergeCells count="10">
    <mergeCell ref="A22:B23"/>
    <mergeCell ref="C24:E25"/>
    <mergeCell ref="A20:B21"/>
    <mergeCell ref="A2:E2"/>
    <mergeCell ref="A19:E19"/>
    <mergeCell ref="C22:E23"/>
    <mergeCell ref="A1:E1"/>
    <mergeCell ref="C20:E21"/>
    <mergeCell ref="A24:B25"/>
    <mergeCell ref="A27:E27"/>
  </mergeCells>
  <dataValidations count="1">
    <dataValidation sqref="C5 C6 C7 C8 C9 C10 C11 C12 C13 C14 C15 C16" showDropDown="0" showInputMessage="0" showErrorMessage="0" allowBlank="1" type="list">
      <formula1>"F,D,DD,X"</formula1>
    </dataValidation>
  </dataValidations>
  <pageMargins left="0.75" right="0.75" top="1" bottom="1" header="0.5" footer="0.5"/>
</worksheet>
</file>

<file path=xl/worksheets/sheet4.xml><?xml version="1.0" encoding="utf-8"?>
<worksheet xmlns="http://schemas.openxmlformats.org/spreadsheetml/2006/main">
  <sheetPr>
    <tabColor rgb="00005A8C"/>
    <outlinePr summaryBelow="1" summaryRight="1"/>
    <pageSetUpPr/>
  </sheetPr>
  <dimension ref="A1:F2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42" customWidth="1" min="3" max="3"/>
    <col width="34" customWidth="1" min="4" max="4"/>
    <col width="34" customWidth="1" min="5" max="5"/>
    <col width="34" customWidth="1" min="6" max="6"/>
    <col width="3" customWidth="1" min="7" max="7"/>
  </cols>
  <sheetData>
    <row r="1" ht="30" customHeight="1">
      <c r="A1" s="1" t="inlineStr">
        <is>
          <t>T2  ·  Declare the Grain</t>
        </is>
      </c>
    </row>
    <row r="2" ht="30" customHeight="1">
      <c r="A2" s="2" t="inlineStr">
        <is>
          <t>The single most consequential sentence in warehouse design. Write it for PakFreight, then for four processes PakFreight wants to add next. Use the template: 'One row per …'. If your sentence needs the word 'and', you have described two fact tables.</t>
        </is>
      </c>
    </row>
    <row r="4" ht="22" customHeight="1">
      <c r="A4" s="3" t="inlineStr">
        <is>
          <t>PART A  ·  THE PAKFREIGHT GRAIN STATEMENT</t>
        </is>
      </c>
    </row>
    <row r="5" ht="32" customHeight="1">
      <c r="B5" s="8" t="inlineStr">
        <is>
          <t>One row of FactShipment represents…</t>
        </is>
      </c>
      <c r="C5" s="19" t="inlineStr">
        <is>
          <t>One row per shipment leg dispatched by PakFreight.</t>
        </is>
      </c>
      <c r="D5" s="40" t="n"/>
      <c r="E5" s="41" t="n"/>
      <c r="F5" s="8">
        <f>IF(C5="","— not written yet",IF(ISNUMBER(SEARCH(" and ",C5)),"✘ contains 'and' — that is two fact tables","✔ no 'and' — one grain"))</f>
        <v/>
      </c>
    </row>
    <row r="6" ht="26" customHeight="1">
      <c r="A6" s="24" t="inlineStr">
        <is>
          <t>Why 'leg' and not 'shipment'? MR-1009 moves Gwadar → Karachi and RD-508 moves Quetta → Karachi. If a single customer consignment is later carried marine-then-road, 'one row per shipment' becomes ambiguous the day PakFreight sells multi-modal freight — and the grain you declare today is the one the CFO's 2027 reports will be built on.</t>
        </is>
      </c>
    </row>
    <row r="8" ht="22" customHeight="1">
      <c r="A8" s="3" t="inlineStr">
        <is>
          <t>PART B  ·  FOUR NEW PROCESSES — GRAIN, DIMENSIONS, MEASURES, FACT TYPE</t>
        </is>
      </c>
    </row>
    <row r="9" ht="30" customHeight="1">
      <c r="A9" s="6" t="inlineStr">
        <is>
          <t>#</t>
        </is>
      </c>
      <c r="B9" s="6" t="inlineStr">
        <is>
          <t>Business process</t>
        </is>
      </c>
      <c r="C9" s="6" t="inlineStr">
        <is>
          <t>Grain sentence (one row per …)</t>
        </is>
      </c>
      <c r="D9" s="6" t="inlineStr">
        <is>
          <t>Dimensions it implies</t>
        </is>
      </c>
      <c r="E9" s="6" t="inlineStr">
        <is>
          <t>Two measures</t>
        </is>
      </c>
      <c r="F9" s="6" t="inlineStr">
        <is>
          <t>Fact table type + why</t>
        </is>
      </c>
    </row>
    <row r="10" ht="56" customHeight="1">
      <c r="A10" s="9" t="n">
        <v>1</v>
      </c>
      <c r="B10" s="18" t="inlineStr">
        <is>
          <t>Fuel purchases at PakFreight depots</t>
        </is>
      </c>
      <c r="C10" s="19" t="inlineStr">
        <is>
          <t>fuel purchase transaction line</t>
        </is>
      </c>
      <c r="D10" s="19" t="inlineStr">
        <is>
          <t>Date, Depot/Location, Supplier, FuelType, Vehicle</t>
        </is>
      </c>
      <c r="E10" s="19" t="inlineStr">
        <is>
          <t>Litres purchased; PurchaseCostPKR</t>
        </is>
      </c>
      <c r="F10" s="19" t="inlineStr">
        <is>
          <t>Transaction: one row records a completed purchase line.</t>
        </is>
      </c>
    </row>
    <row r="11" ht="16" customHeight="1">
      <c r="A11" s="27" t="inlineStr"/>
      <c r="B11" s="28" t="inlineStr">
        <is>
          <t>Hint:  Is the grain one fuel purchase, one litre, or one truck per week?</t>
        </is>
      </c>
      <c r="C11" s="40" t="n"/>
      <c r="D11" s="40" t="n"/>
      <c r="E11" s="40" t="n"/>
      <c r="F11" s="41" t="n"/>
    </row>
    <row r="12" ht="56" customHeight="1">
      <c r="A12" s="9" t="n">
        <v>2</v>
      </c>
      <c r="B12" s="18" t="inlineStr">
        <is>
          <t>Driver duty hours and rest compliance</t>
        </is>
      </c>
      <c r="C12" s="19" t="inlineStr">
        <is>
          <t>driver shift worked by one driver on one date</t>
        </is>
      </c>
      <c r="D12" s="19" t="inlineStr">
        <is>
          <t>Date, Driver, Depot</t>
        </is>
      </c>
      <c r="E12" s="19" t="inlineStr">
        <is>
          <t>DutyHours; RestHours</t>
        </is>
      </c>
      <c r="F12" s="19" t="inlineStr">
        <is>
          <t>Transaction: keep one row per shift; calculate rolling 14-day compliance from shift measures.</t>
        </is>
      </c>
    </row>
    <row r="13" ht="16" customHeight="1">
      <c r="A13" s="27" t="inlineStr"/>
      <c r="B13" s="28" t="inlineStr">
        <is>
          <t>Hint:  Regulators care about a rolling 14-day window. Does that change the grain, or only the measures?</t>
        </is>
      </c>
      <c r="C13" s="40" t="n"/>
      <c r="D13" s="40" t="n"/>
      <c r="E13" s="40" t="n"/>
      <c r="F13" s="41" t="n"/>
    </row>
    <row r="14" ht="56" customHeight="1">
      <c r="A14" s="9" t="n">
        <v>3</v>
      </c>
      <c r="B14" s="18" t="inlineStr">
        <is>
          <t>Customer complaints about late delivery</t>
        </is>
      </c>
      <c r="C14" s="19" t="inlineStr">
        <is>
          <t>customer complaint/ticket from opening through resolution</t>
        </is>
      </c>
      <c r="D14" s="19" t="inlineStr">
        <is>
          <t>Customer, ComplaintType, Status, CreatedDate, ResolvedDate</t>
        </is>
      </c>
      <c r="E14" s="19" t="inlineStr">
        <is>
          <t>ResolutionDays; ComplaintCount</t>
        </is>
      </c>
      <c r="F14" s="19" t="inlineStr">
        <is>
          <t>Accumulating snapshot: update milestone dates/status as the ticket progresses; use a ComplaintShipment bridge for multiple shipments.</t>
        </is>
      </c>
    </row>
    <row r="15" ht="16" customHeight="1">
      <c r="A15" s="27" t="inlineStr"/>
      <c r="B15" s="28" t="inlineStr">
        <is>
          <t>Hint:  One complaint can reference several shipments. Where does that relationship live?</t>
        </is>
      </c>
      <c r="C15" s="40" t="n"/>
      <c r="D15" s="40" t="n"/>
      <c r="E15" s="40" t="n"/>
      <c r="F15" s="41" t="n"/>
    </row>
    <row r="16" ht="56" customHeight="1">
      <c r="A16" s="9" t="n">
        <v>4</v>
      </c>
      <c r="B16" s="18" t="inlineStr">
        <is>
          <t>Daily warehouse stock levels at Lahore Dry Port</t>
        </is>
      </c>
      <c r="C16" s="19" t="inlineStr">
        <is>
          <t>product at Lahore Dry Port at the close of each calendar day</t>
        </is>
      </c>
      <c r="D16" s="19" t="inlineStr">
        <is>
          <t>Date, Product, Warehouse/Depot</t>
        </is>
      </c>
      <c r="E16" s="19" t="inlineStr">
        <is>
          <t>OnHandUnits; StockValuePKR</t>
        </is>
      </c>
      <c r="F16" s="19" t="inlineStr">
        <is>
          <t>Periodic snapshot: record balances each day, including quiet days.</t>
        </is>
      </c>
    </row>
    <row r="17" ht="16" customHeight="1">
      <c r="A17" s="27" t="inlineStr"/>
      <c r="B17" s="28" t="inlineStr">
        <is>
          <t>Hint:  Nothing 'happens' on a quiet day — but you still need a number. Which fact shape is this?</t>
        </is>
      </c>
      <c r="C17" s="40" t="n"/>
      <c r="D17" s="40" t="n"/>
      <c r="E17" s="40" t="n"/>
      <c r="F17" s="41" t="n"/>
    </row>
    <row r="19" ht="22" customHeight="1">
      <c r="A19" s="3" t="inlineStr">
        <is>
          <t>PART C  ·  THE GRAIN THAT WENT WRONG — A 20-SECOND CASE</t>
        </is>
      </c>
    </row>
    <row r="20">
      <c r="B20" s="29" t="inlineStr">
        <is>
          <t>A PakFreight analyst needs cost per customer, so he adds CustomerName to FactShipment. Two shipments on RD-501 are billed to two customers who split the truck. He cannot choose, so he duplicates the row — once per customer. The table now has 35 rows, total weight reads 585,150 kg, and every weight report in the company is overstated by 6,500 kg forever.
In one line each: (a) what rule did he break?  (b) what should he have built instead?  (c) which of T7's twelve checks would have caught it?</t>
        </is>
      </c>
      <c r="C20" s="59" t="n"/>
      <c r="D20" s="59" t="n"/>
      <c r="E20" s="59" t="n"/>
      <c r="F20" s="58" t="n"/>
    </row>
    <row r="21">
      <c r="B21" s="63" t="n"/>
      <c r="F21" s="64" t="n"/>
    </row>
    <row r="22">
      <c r="B22" s="60" t="n"/>
      <c r="C22" s="62" t="n"/>
      <c r="D22" s="62" t="n"/>
      <c r="E22" s="62" t="n"/>
      <c r="F22" s="61" t="n"/>
    </row>
    <row r="23" ht="56" customHeight="1">
      <c r="B23" s="19" t="inlineStr">
        <is>
          <t>Adding CustomerName broke the declared one-row-per-shipment-leg grain and duplicated shipment measures. Keep FactShipment at leg grain; use a ShipmentCustomer allocation bridge/fact with agreed allocation percentages and allocated weight/cost. T7 checks #1 (row count), #2 (weight), #3 (cost) and #4 (shipment count) would expose duplication; #5 distinct IDs alone may not.</t>
        </is>
      </c>
      <c r="C23" s="59" t="n"/>
      <c r="D23" s="59" t="n"/>
      <c r="E23" s="59" t="n"/>
      <c r="F23" s="58" t="n"/>
    </row>
    <row r="24" ht="56" customHeight="1">
      <c r="B24" s="60" t="n"/>
      <c r="C24" s="62" t="n"/>
      <c r="D24" s="62" t="n"/>
      <c r="E24" s="62" t="n"/>
      <c r="F24" s="61" t="n"/>
    </row>
    <row r="26" ht="26" customHeight="1">
      <c r="A26" s="24" t="inlineStr">
        <is>
          <t>Marking, 12 marks: Part A grain sentence 3 · Part B 1.5 per process (grain 0.75, dimensions 0.5, measures 0.25) · Part C 3 · bonus 1 for spotting that #4 is a periodic snapshot and #3 needs a bridge table. A sentence containing 'and' loses the grain mark however good the rest is.</t>
        </is>
      </c>
    </row>
  </sheetData>
  <mergeCells count="14">
    <mergeCell ref="A2:F2"/>
    <mergeCell ref="C5:E5"/>
    <mergeCell ref="A19:F19"/>
    <mergeCell ref="B20:F22"/>
    <mergeCell ref="B15:F15"/>
    <mergeCell ref="A1:F1"/>
    <mergeCell ref="B11:F11"/>
    <mergeCell ref="A8:F8"/>
    <mergeCell ref="A6:F6"/>
    <mergeCell ref="A4:F4"/>
    <mergeCell ref="B23:F24"/>
    <mergeCell ref="A26:F26"/>
    <mergeCell ref="B17:F17"/>
    <mergeCell ref="B13:F13"/>
  </mergeCells>
  <dataValidations count="1">
    <dataValidation sqref="F10 F12 F14 F16" showDropDown="0" showInputMessage="0" showErrorMessage="0" allowBlank="1" type="list">
      <formula1>"Transaction,Periodic snapshot,Accumulating snapshot"</formula1>
    </dataValidation>
  </dataValidations>
  <pageMargins left="0.75" right="0.75" top="1" bottom="1" header="0.5" footer="0.5"/>
</worksheet>
</file>

<file path=xl/worksheets/sheet5.xml><?xml version="1.0" encoding="utf-8"?>
<worksheet xmlns="http://schemas.openxmlformats.org/spreadsheetml/2006/main">
  <sheetPr>
    <tabColor rgb="00005A8C"/>
    <outlinePr summaryBelow="1" summaryRight="1"/>
    <pageSetUpPr/>
  </sheetPr>
  <dimension ref="A1:F31"/>
  <sheetViews>
    <sheetView showGridLines="0" workbookViewId="0">
      <pane ySplit="4" topLeftCell="A5" activePane="bottomLeft" state="frozen"/>
      <selection pane="bottomLeft" activeCell="A1" sqref="A1"/>
    </sheetView>
  </sheetViews>
  <sheetFormatPr baseColWidth="8" defaultRowHeight="15"/>
  <cols>
    <col width="5" customWidth="1" min="1" max="1"/>
    <col width="28" customWidth="1" min="2" max="2"/>
    <col width="17" customWidth="1" min="3" max="3"/>
    <col width="15" customWidth="1" min="4" max="4"/>
    <col width="48" customWidth="1" min="5" max="5"/>
    <col width="52" customWidth="1" min="6" max="6"/>
    <col width="3" customWidth="1" min="7" max="7"/>
  </cols>
  <sheetData>
    <row r="1" ht="30" customHeight="1">
      <c r="A1" s="1" t="inlineStr">
        <is>
          <t>T3  ·  Additivity Audit  —  and the ratio that lies by 3%</t>
        </is>
      </c>
    </row>
    <row r="2" ht="30" customHeight="1">
      <c r="A2" s="2" t="inlineStr">
        <is>
          <t>A measure is only useful once you know which dimensions you may add it across. Classify ten measures, then prove the ratio trap on PakFreight's own 34 rows.</t>
        </is>
      </c>
    </row>
    <row r="4" ht="30" customHeight="1">
      <c r="A4" s="6" t="inlineStr">
        <is>
          <t>#</t>
        </is>
      </c>
      <c r="B4" s="6" t="inlineStr">
        <is>
          <t>Candidate measure</t>
        </is>
      </c>
      <c r="C4" s="6" t="inlineStr">
        <is>
          <t>Additive / Semi / Non</t>
        </is>
      </c>
      <c r="D4" s="6" t="inlineStr">
        <is>
          <t>Safe to SUM across time?</t>
        </is>
      </c>
      <c r="E4" s="6" t="inlineStr">
        <is>
          <t>What should you store instead?</t>
        </is>
      </c>
      <c r="F4" s="6" t="inlineStr">
        <is>
          <t>Notes / your reasoning</t>
        </is>
      </c>
    </row>
    <row r="5" ht="28" customHeight="1">
      <c r="A5" s="9" t="n">
        <v>1</v>
      </c>
      <c r="B5" s="30" t="inlineStr">
        <is>
          <t>WeightKG</t>
        </is>
      </c>
      <c r="C5" s="19" t="inlineStr">
        <is>
          <t>Additive</t>
        </is>
      </c>
      <c r="D5" s="19" t="inlineStr">
        <is>
          <t>Yes</t>
        </is>
      </c>
      <c r="E5" s="19" t="inlineStr">
        <is>
          <t>Store kilograms at leg grain; sum across dates and other dimensions.</t>
        </is>
      </c>
      <c r="F5" s="19" t="inlineStr">
        <is>
          <t>Classification is at the declared grain; ratios and snapshots need the stated aggregation rule.</t>
        </is>
      </c>
    </row>
    <row r="6" ht="28" customHeight="1">
      <c r="A6" s="9" t="n">
        <v>2</v>
      </c>
      <c r="B6" s="30" t="inlineStr">
        <is>
          <t>FreightCostPKR</t>
        </is>
      </c>
      <c r="C6" s="19" t="inlineStr">
        <is>
          <t>Additive</t>
        </is>
      </c>
      <c r="D6" s="19" t="inlineStr">
        <is>
          <t>Yes</t>
        </is>
      </c>
      <c r="E6" s="19" t="inlineStr">
        <is>
          <t>Store PKR cost components; sum across dates and dimensions.</t>
        </is>
      </c>
      <c r="F6" s="19" t="inlineStr">
        <is>
          <t>Classification is at the declared grain; ratios and snapshots need the stated aggregation rule.</t>
        </is>
      </c>
    </row>
    <row r="7" ht="28" customHeight="1">
      <c r="A7" s="9" t="n">
        <v>3</v>
      </c>
      <c r="B7" s="30" t="inlineStr">
        <is>
          <t>ShipmentCount (=1)</t>
        </is>
      </c>
      <c r="C7" s="19" t="inlineStr">
        <is>
          <t>Additive</t>
        </is>
      </c>
      <c r="D7" s="19" t="inlineStr">
        <is>
          <t>Yes</t>
        </is>
      </c>
      <c r="E7" s="19" t="inlineStr">
        <is>
          <t>Store 1 per leg; sum to count legs.</t>
        </is>
      </c>
      <c r="F7" s="19" t="inlineStr">
        <is>
          <t>Classification is at the declared grain; ratios and snapshots need the stated aggregation rule.</t>
        </is>
      </c>
    </row>
    <row r="8" ht="28" customHeight="1">
      <c r="A8" s="9" t="n">
        <v>4</v>
      </c>
      <c r="B8" s="30" t="inlineStr">
        <is>
          <t>TrucksAvailable at a depot</t>
        </is>
      </c>
      <c r="C8" s="19" t="inlineStr">
        <is>
          <t>Semi-additive</t>
        </is>
      </c>
      <c r="D8" s="19" t="inlineStr">
        <is>
          <t>No</t>
        </is>
      </c>
      <c r="E8" s="19" t="inlineStr">
        <is>
          <t>Store the depot-level snapshot; sum across depots, select a point/period-end across time.</t>
        </is>
      </c>
      <c r="F8" s="19" t="inlineStr">
        <is>
          <t>Classification is at the declared grain; ratios and snapshots need the stated aggregation rule.</t>
        </is>
      </c>
    </row>
    <row r="9" ht="28" customHeight="1">
      <c r="A9" s="9" t="n">
        <v>5</v>
      </c>
      <c r="B9" s="30" t="inlineStr">
        <is>
          <t>WarehouseStockKG</t>
        </is>
      </c>
      <c r="C9" s="19" t="inlineStr">
        <is>
          <t>Semi-additive</t>
        </is>
      </c>
      <c r="D9" s="19" t="inlineStr">
        <is>
          <t>No</t>
        </is>
      </c>
      <c r="E9" s="19" t="inlineStr">
        <is>
          <t>Store daily stock balance; sum across products/depots as appropriate, not across days.</t>
        </is>
      </c>
      <c r="F9" s="19" t="inlineStr">
        <is>
          <t>Classification is at the declared grain; ratios and snapshots need the stated aggregation rule.</t>
        </is>
      </c>
    </row>
    <row r="10" ht="28" customHeight="1">
      <c r="A10" s="9" t="n">
        <v>6</v>
      </c>
      <c r="B10" s="30" t="inlineStr">
        <is>
          <t>CostPerKG</t>
        </is>
      </c>
      <c r="C10" s="19" t="inlineStr">
        <is>
          <t>Non-additive</t>
        </is>
      </c>
      <c r="D10" s="19" t="inlineStr">
        <is>
          <t>No</t>
        </is>
      </c>
      <c r="E10" s="19" t="inlineStr">
        <is>
          <t>Store FreightCostPKR and WeightKG; calculate total cost divided by total weight.</t>
        </is>
      </c>
      <c r="F10" s="19" t="inlineStr">
        <is>
          <t>Classification is at the declared grain; ratios and snapshots need the stated aggregation rule.</t>
        </is>
      </c>
    </row>
    <row r="11" ht="28" customHeight="1">
      <c r="A11" s="9" t="n">
        <v>7</v>
      </c>
      <c r="B11" s="30" t="inlineStr">
        <is>
          <t>OnTimePercent</t>
        </is>
      </c>
      <c r="C11" s="19" t="inlineStr">
        <is>
          <t>Non-additive</t>
        </is>
      </c>
      <c r="D11" s="19" t="inlineStr">
        <is>
          <t>No</t>
        </is>
      </c>
      <c r="E11" s="19" t="inlineStr">
        <is>
          <t>Store on-time count and eligible shipment count; divide after aggregation.</t>
        </is>
      </c>
      <c r="F11" s="19" t="inlineStr">
        <is>
          <t>Classification is at the declared grain; ratios and snapshots need the stated aggregation rule.</t>
        </is>
      </c>
    </row>
    <row r="12" ht="28" customHeight="1">
      <c r="A12" s="9" t="n">
        <v>8</v>
      </c>
      <c r="B12" s="30" t="inlineStr">
        <is>
          <t>TruckUtilisationRate</t>
        </is>
      </c>
      <c r="C12" s="19" t="inlineStr">
        <is>
          <t>Non-additive</t>
        </is>
      </c>
      <c r="D12" s="19" t="inlineStr">
        <is>
          <t>No</t>
        </is>
      </c>
      <c r="E12" s="19" t="inlineStr">
        <is>
          <t>Store occupied hours and available hours; calculate the ratio after aggregation.</t>
        </is>
      </c>
      <c r="F12" s="19" t="inlineStr">
        <is>
          <t>Classification is at the declared grain; ratios and snapshots need the stated aggregation rule.</t>
        </is>
      </c>
    </row>
    <row r="13" ht="28" customHeight="1">
      <c r="A13" s="9" t="n">
        <v>9</v>
      </c>
      <c r="B13" s="30" t="inlineStr">
        <is>
          <t>Days_Late</t>
        </is>
      </c>
      <c r="C13" s="19" t="inlineStr">
        <is>
          <t>Additive</t>
        </is>
      </c>
      <c r="D13" s="19" t="inlineStr">
        <is>
          <t>Yes</t>
        </is>
      </c>
      <c r="E13" s="19" t="inlineStr">
        <is>
          <t>Store delay days per leg; sum for total delay-days (use averages for typical delay).</t>
        </is>
      </c>
      <c r="F13" s="19" t="inlineStr">
        <is>
          <t>Classification is at the declared grain; ratios and snapshots need the stated aggregation rule.</t>
        </is>
      </c>
    </row>
    <row r="14" ht="28" customHeight="1">
      <c r="A14" s="9" t="n">
        <v>10</v>
      </c>
      <c r="B14" s="30" t="inlineStr">
        <is>
          <t>AverageWeightPerShipment</t>
        </is>
      </c>
      <c r="C14" s="19" t="inlineStr">
        <is>
          <t>Non-additive</t>
        </is>
      </c>
      <c r="D14" s="19" t="inlineStr">
        <is>
          <t>No</t>
        </is>
      </c>
      <c r="E14" s="19" t="inlineStr">
        <is>
          <t>Store WeightKG and ShipmentCount; calculate their ratio. Do not average stored averages.</t>
        </is>
      </c>
      <c r="F14" s="19" t="inlineStr">
        <is>
          <t>Classification is at the declared grain; ratios and snapshots need the stated aggregation rule.</t>
        </is>
      </c>
    </row>
    <row r="16" ht="22" customHeight="1">
      <c r="A16" s="3" t="inlineStr">
        <is>
          <t>THE PROOF  ·  AVERAGE OF A RATIO vs RATIO OF TWO SUMS  —  SAME 34 ROWS, TWO DIFFERENT ANSWERS</t>
        </is>
      </c>
    </row>
    <row r="17" ht="24" customHeight="1">
      <c r="B17" s="8" t="inlineStr">
        <is>
          <t>WRONG — average the per-row ratio</t>
        </is>
      </c>
      <c r="C17" s="65">
        <f>SUMPRODUCT(Shipments_Unified!F5:F38/Shipments_Unified!E5:E38)/34</f>
        <v/>
      </c>
      <c r="D17" s="10" t="inlineStr">
        <is>
          <t>What AVERAGE(Cost/Weight) gives you, and what a careless DAX measure gives you.</t>
        </is>
      </c>
      <c r="E17" s="40" t="n"/>
      <c r="F17" s="41" t="n"/>
    </row>
    <row r="18" ht="24" customHeight="1">
      <c r="B18" s="8" t="inlineStr">
        <is>
          <t>RIGHT — divide the two sums</t>
        </is>
      </c>
      <c r="C18" s="65">
        <f>SUM(Shipments_Unified!F5:F38)/SUM(Shipments_Unified!E5:E38)</f>
        <v/>
      </c>
      <c r="D18" s="10" t="inlineStr">
        <is>
          <t>What DIVIDE(SUM(Cost), SUM(Weight)) gives you. The only version that is correct at every level.</t>
        </is>
      </c>
      <c r="E18" s="40" t="n"/>
      <c r="F18" s="41" t="n"/>
    </row>
    <row r="19" ht="24" customHeight="1">
      <c r="B19" s="8" t="inlineStr">
        <is>
          <t>The gap, in PKR per kg</t>
        </is>
      </c>
      <c r="C19" s="65">
        <f>C18-C17</f>
        <v/>
      </c>
      <c r="D19" s="10" t="inlineStr">
        <is>
          <t>Small enough that nobody notices. On PakFreight's real annual volume it is tens of millions.</t>
        </is>
      </c>
      <c r="E19" s="40" t="n"/>
      <c r="F19" s="41" t="n"/>
    </row>
    <row r="20" ht="24" customHeight="1">
      <c r="B20" s="8" t="inlineStr">
        <is>
          <t>The gap, as a percentage</t>
        </is>
      </c>
      <c r="C20" s="32">
        <f>(C18-C17)/C17</f>
        <v/>
      </c>
      <c r="D20" s="10" t="inlineStr">
        <is>
          <t>No error is raised. No cell turns red. The number is simply wrong.</t>
        </is>
      </c>
      <c r="E20" s="40" t="n"/>
      <c r="F20" s="41" t="n"/>
    </row>
    <row r="21">
      <c r="B21" s="33" t="inlineStr">
        <is>
          <t>Expected: 8.0604 (wrong) and 8.3090 (right)</t>
        </is>
      </c>
    </row>
    <row r="23" ht="22" customHeight="1">
      <c r="A23" s="3" t="inlineStr">
        <is>
          <t>ANSWER IN ONE LINE EACH</t>
        </is>
      </c>
    </row>
    <row r="24" ht="38" customHeight="1">
      <c r="B24" s="26" t="inlineStr">
        <is>
          <t>Which of the two numbers above would you put on a board slide, and what exactly does the other one measure?</t>
        </is>
      </c>
      <c r="C24" s="58" t="n"/>
      <c r="D24" s="19" t="inlineStr">
        <is>
          <t>Put 8.3090 PKR/kg on the board slide: total freight cost divided by total kg. 8.0604 is the unweighted mean of 34 shipment-level cost/kg ratios; it answers the cost/kg for an average leg, giving a small leg the same weight as a large one.</t>
        </is>
      </c>
      <c r="E24" s="59" t="n"/>
      <c r="F24" s="58" t="n"/>
    </row>
    <row r="25" ht="38" customHeight="1">
      <c r="B25" s="60" t="n"/>
      <c r="C25" s="61" t="n"/>
      <c r="D25" s="60" t="n"/>
      <c r="E25" s="62" t="n"/>
      <c r="F25" s="61" t="n"/>
    </row>
    <row r="26" ht="42" customHeight="1">
      <c r="B26" s="26" t="inlineStr">
        <is>
          <t>For each province, divide SUM(FreightCostPKR) by SUM(WeightKG) for legs originating there. Aggregate the two additive components first, then divide; never average shipment-level cost/kg ratios.</t>
        </is>
      </c>
      <c r="C26" s="58" t="n"/>
      <c r="D26" s="19" t="inlineStr"/>
      <c r="E26" s="59" t="n"/>
      <c r="F26" s="58" t="n"/>
    </row>
    <row r="27" ht="42" customHeight="1">
      <c r="B27" s="60" t="n"/>
      <c r="C27" s="61" t="n"/>
      <c r="D27" s="60" t="n"/>
      <c r="E27" s="62" t="n"/>
      <c r="F27" s="61" t="n"/>
    </row>
    <row r="28" ht="36" customHeight="1">
      <c r="B28" s="26" t="inlineStr">
        <is>
          <t>Name the one measure in the table above whose correct answer is 'delete the column', and say why a stored average can never be fixed later.</t>
        </is>
      </c>
      <c r="C28" s="58" t="n"/>
      <c r="D28" s="19" t="inlineStr">
        <is>
          <t>AverageWeightPerShipment: delete the stored average column because WeightKG and ShipmentCount already retain its full numerator and denominator. A stored average has discarded the underlying weighting and cannot be correctly rolled up from averages alone.</t>
        </is>
      </c>
      <c r="E28" s="59" t="n"/>
      <c r="F28" s="58" t="n"/>
    </row>
    <row r="29" ht="36" customHeight="1">
      <c r="B29" s="60" t="n"/>
      <c r="C29" s="61" t="n"/>
      <c r="D29" s="60" t="n"/>
      <c r="E29" s="62" t="n"/>
      <c r="F29" s="61" t="n"/>
    </row>
    <row r="31" ht="26" customHeight="1">
      <c r="A31" s="24" t="inlineStr">
        <is>
          <t>Marking, 10 marks: classification 5 (half a mark per row) · 'store instead' column 2 · the three questions 3. Full marks on question 1 require naming what 8.06 actually measures — 'it is wrong' is not an answer.</t>
        </is>
      </c>
    </row>
  </sheetData>
  <mergeCells count="15">
    <mergeCell ref="A2:F2"/>
    <mergeCell ref="A16:F16"/>
    <mergeCell ref="D19:F19"/>
    <mergeCell ref="D28:F29"/>
    <mergeCell ref="A1:F1"/>
    <mergeCell ref="A23:F23"/>
    <mergeCell ref="D18:F18"/>
    <mergeCell ref="D24:F25"/>
    <mergeCell ref="B26:C27"/>
    <mergeCell ref="D17:F17"/>
    <mergeCell ref="B24:C25"/>
    <mergeCell ref="B28:C29"/>
    <mergeCell ref="D26:F27"/>
    <mergeCell ref="A31:F31"/>
    <mergeCell ref="D20:F20"/>
  </mergeCells>
  <dataValidations count="2">
    <dataValidation sqref="C5 C6 C7 C8 C9 C10 C11 C12 C13 C14" showDropDown="0" showInputMessage="0" showErrorMessage="0" allowBlank="1" type="list">
      <formula1>"Additive,Semi-additive,Non-additive"</formula1>
    </dataValidation>
    <dataValidation sqref="D5 D6 D7 D8 D9 D10 D11 D12 D13 D14"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tabColor rgb="00005A8C"/>
    <outlinePr summaryBelow="1" summaryRight="1"/>
    <pageSetUpPr/>
  </sheetPr>
  <dimension ref="A1:O44"/>
  <sheetViews>
    <sheetView showGridLines="0" workbookViewId="0">
      <pane ySplit="5" topLeftCell="A6" activePane="bottomLeft" state="frozen"/>
      <selection pane="bottomLeft" activeCell="A1" sqref="A1"/>
    </sheetView>
  </sheetViews>
  <sheetFormatPr baseColWidth="8" defaultRowHeight="15"/>
  <cols>
    <col width="4" customWidth="1" min="1" max="1"/>
    <col width="26" customWidth="1" min="2" max="2"/>
    <col width="18" customWidth="1" min="3" max="3"/>
    <col width="20" customWidth="1" min="4" max="4"/>
    <col width="11" customWidth="1" min="5" max="5"/>
    <col width="11" customWidth="1" min="6" max="6"/>
    <col width="22" customWidth="1" min="7" max="7"/>
    <col width="3" customWidth="1" min="8" max="8"/>
    <col width="9" customWidth="1" min="9" max="9"/>
    <col width="16" customWidth="1" min="10" max="10"/>
    <col width="20" customWidth="1" min="11" max="11"/>
    <col width="11" customWidth="1" min="12" max="12"/>
    <col width="11" customWidth="1" min="13" max="13"/>
    <col width="22" customWidth="1" min="14" max="14"/>
    <col width="44" customWidth="1" min="15" max="15"/>
  </cols>
  <sheetData>
    <row r="1" ht="30" customHeight="1">
      <c r="A1" s="1" t="inlineStr">
        <is>
          <t>T4  ·  Conform 23 Location Strings into 14 Cities</t>
        </is>
      </c>
    </row>
    <row r="2" ht="30" customHeight="1">
      <c r="A2" s="2" t="inlineStr">
        <is>
          <t>This is the editorial act of dimensional modelling, and it is yours. Block 1: decide what each raw string really is. Block 2: build the dimension, one row per real-world city, with a surrogate key you mint yourself.</t>
        </is>
      </c>
    </row>
    <row r="4" ht="22" customHeight="1">
      <c r="A4" s="3" t="inlineStr">
        <is>
          <t>BLOCK 1  ·  THE CONFORMING MAP  —  23 RAW STRINGS, EXACTLY AS THE SOURCE SYSTEMS WROTE THEM</t>
        </is>
      </c>
    </row>
    <row r="5" ht="30" customHeight="1">
      <c r="A5" s="6" t="inlineStr">
        <is>
          <t>#</t>
        </is>
      </c>
      <c r="B5" s="6" t="inlineStr">
        <is>
          <t>Raw location string (grey — do not edit)</t>
        </is>
      </c>
      <c r="C5" s="6" t="inlineStr">
        <is>
          <t>Conformed CityName</t>
        </is>
      </c>
      <c r="D5" s="6" t="inlineStr">
        <is>
          <t>Province</t>
        </is>
      </c>
      <c r="E5" s="6" t="inlineStr">
        <is>
          <t>Region</t>
        </is>
      </c>
      <c r="F5" s="6" t="inlineStr">
        <is>
          <t>Port city?</t>
        </is>
      </c>
      <c r="G5" s="6" t="inlineStr">
        <is>
          <t>Facility type</t>
        </is>
      </c>
      <c r="I5" s="6" t="inlineStr">
        <is>
          <t>CityKey</t>
        </is>
      </c>
      <c r="J5" s="6" t="inlineStr">
        <is>
          <t>CityName</t>
        </is>
      </c>
      <c r="K5" s="6" t="inlineStr">
        <is>
          <t>Province</t>
        </is>
      </c>
      <c r="L5" s="6" t="inlineStr">
        <is>
          <t>Region</t>
        </is>
      </c>
      <c r="M5" s="6" t="inlineStr">
        <is>
          <t>Port?</t>
        </is>
      </c>
      <c r="N5" s="6" t="inlineStr">
        <is>
          <t>FacilityType</t>
        </is>
      </c>
      <c r="O5" s="6" t="inlineStr">
        <is>
          <t>SourceAliases (which raw strings map here)</t>
        </is>
      </c>
    </row>
    <row r="6" ht="26" customHeight="1">
      <c r="A6" s="9" t="n">
        <v>1</v>
      </c>
      <c r="B6" s="20" t="inlineStr">
        <is>
          <t>Karachi Port</t>
        </is>
      </c>
      <c r="C6" s="19" t="inlineStr">
        <is>
          <t>Karachi</t>
        </is>
      </c>
      <c r="D6" s="19" t="inlineStr">
        <is>
          <t>Sindh</t>
        </is>
      </c>
      <c r="E6" s="19" t="inlineStr">
        <is>
          <t>South</t>
        </is>
      </c>
      <c r="F6" s="19" t="inlineStr">
        <is>
          <t>Yes</t>
        </is>
      </c>
      <c r="G6" s="19" t="inlineStr">
        <is>
          <t>Port / rail hub</t>
        </is>
      </c>
      <c r="I6" s="34" t="n">
        <v>1</v>
      </c>
      <c r="J6" s="13" t="inlineStr">
        <is>
          <t>Karachi</t>
        </is>
      </c>
      <c r="K6" s="25" t="inlineStr">
        <is>
          <t>Sindh</t>
        </is>
      </c>
      <c r="L6" s="25" t="inlineStr">
        <is>
          <t>South</t>
        </is>
      </c>
      <c r="M6" s="25" t="inlineStr">
        <is>
          <t>Yes</t>
        </is>
      </c>
      <c r="N6" s="19" t="inlineStr">
        <is>
          <t>Port / rail hub</t>
        </is>
      </c>
      <c r="O6" s="35">
        <f>IF($J6="","",TEXTJOIN(" | ",TRUE,IF($C$6:$C$28=$J6,$B$6:$B$28,"")))</f>
        <v/>
      </c>
    </row>
    <row r="7" ht="26" customHeight="1">
      <c r="A7" s="9" t="n">
        <v>2</v>
      </c>
      <c r="B7" s="20" t="inlineStr">
        <is>
          <t>Port Qasim</t>
        </is>
      </c>
      <c r="C7" s="19" t="inlineStr">
        <is>
          <t>Karachi</t>
        </is>
      </c>
      <c r="D7" s="19" t="inlineStr">
        <is>
          <t>Sindh</t>
        </is>
      </c>
      <c r="E7" s="19" t="inlineStr">
        <is>
          <t>South</t>
        </is>
      </c>
      <c r="F7" s="19" t="inlineStr">
        <is>
          <t>Yes</t>
        </is>
      </c>
      <c r="G7" s="19" t="inlineStr">
        <is>
          <t>Port / rail hub</t>
        </is>
      </c>
      <c r="I7" s="34" t="n">
        <v>2</v>
      </c>
      <c r="J7" s="13" t="inlineStr">
        <is>
          <t>Gwadar</t>
        </is>
      </c>
      <c r="K7" s="25" t="inlineStr">
        <is>
          <t>Balochistan</t>
        </is>
      </c>
      <c r="L7" s="25" t="inlineStr">
        <is>
          <t>South</t>
        </is>
      </c>
      <c r="M7" s="25" t="inlineStr">
        <is>
          <t>Yes</t>
        </is>
      </c>
      <c r="N7" s="19" t="inlineStr">
        <is>
          <t>Sea port</t>
        </is>
      </c>
      <c r="O7" s="35">
        <f>IF($J7="","",TEXTJOIN(" | ",TRUE,IF($C$6:$C$28=$J7,$B$6:$B$28,"")))</f>
        <v/>
      </c>
    </row>
    <row r="8" ht="26" customHeight="1">
      <c r="A8" s="9" t="n">
        <v>3</v>
      </c>
      <c r="B8" s="20" t="inlineStr">
        <is>
          <t>Gwadar Port</t>
        </is>
      </c>
      <c r="C8" s="19" t="inlineStr">
        <is>
          <t>Gwadar</t>
        </is>
      </c>
      <c r="D8" s="19" t="inlineStr">
        <is>
          <t>Balochistan</t>
        </is>
      </c>
      <c r="E8" s="19" t="inlineStr">
        <is>
          <t>South</t>
        </is>
      </c>
      <c r="F8" s="19" t="inlineStr">
        <is>
          <t>Yes</t>
        </is>
      </c>
      <c r="G8" s="19" t="inlineStr">
        <is>
          <t>Sea port</t>
        </is>
      </c>
      <c r="I8" s="34" t="n">
        <v>3</v>
      </c>
      <c r="J8" s="13" t="inlineStr">
        <is>
          <t>Lahore</t>
        </is>
      </c>
      <c r="K8" s="25" t="inlineStr">
        <is>
          <t>Punjab</t>
        </is>
      </c>
      <c r="L8" s="25" t="inlineStr">
        <is>
          <t>North</t>
        </is>
      </c>
      <c r="M8" s="25" t="inlineStr">
        <is>
          <t>No</t>
        </is>
      </c>
      <c r="N8" s="19" t="inlineStr">
        <is>
          <t>Dry port / rail hub</t>
        </is>
      </c>
      <c r="O8" s="35">
        <f>IF($J8="","",TEXTJOIN(" | ",TRUE,IF($C$6:$C$28=$J8,$B$6:$B$28,"")))</f>
        <v/>
      </c>
    </row>
    <row r="9" ht="26" customHeight="1">
      <c r="A9" s="9" t="n">
        <v>4</v>
      </c>
      <c r="B9" s="20" t="inlineStr">
        <is>
          <t>Karachi Cantt</t>
        </is>
      </c>
      <c r="C9" s="19" t="inlineStr">
        <is>
          <t>Karachi</t>
        </is>
      </c>
      <c r="D9" s="19" t="inlineStr">
        <is>
          <t>Sindh</t>
        </is>
      </c>
      <c r="E9" s="19" t="inlineStr">
        <is>
          <t>South</t>
        </is>
      </c>
      <c r="F9" s="19" t="inlineStr">
        <is>
          <t>Yes</t>
        </is>
      </c>
      <c r="G9" s="19" t="inlineStr">
        <is>
          <t>Port / rail hub</t>
        </is>
      </c>
      <c r="I9" s="34" t="n">
        <v>4</v>
      </c>
      <c r="J9" s="13" t="inlineStr">
        <is>
          <t>Multan</t>
        </is>
      </c>
      <c r="K9" s="25" t="inlineStr">
        <is>
          <t>Punjab</t>
        </is>
      </c>
      <c r="L9" s="25" t="inlineStr">
        <is>
          <t>Central</t>
        </is>
      </c>
      <c r="M9" s="25" t="inlineStr">
        <is>
          <t>No</t>
        </is>
      </c>
      <c r="N9" s="19" t="inlineStr">
        <is>
          <t>Inland depot</t>
        </is>
      </c>
      <c r="O9" s="35">
        <f>IF($J9="","",TEXTJOIN(" | ",TRUE,IF($C$6:$C$28=$J9,$B$6:$B$28,"")))</f>
        <v/>
      </c>
    </row>
    <row r="10" ht="26" customHeight="1">
      <c r="A10" s="9" t="n">
        <v>5</v>
      </c>
      <c r="B10" s="20" t="inlineStr">
        <is>
          <t>Pipri Marshalling Yard</t>
        </is>
      </c>
      <c r="C10" s="19" t="inlineStr">
        <is>
          <t>Karachi</t>
        </is>
      </c>
      <c r="D10" s="19" t="inlineStr">
        <is>
          <t>Sindh</t>
        </is>
      </c>
      <c r="E10" s="19" t="inlineStr">
        <is>
          <t>South</t>
        </is>
      </c>
      <c r="F10" s="19" t="inlineStr">
        <is>
          <t>Yes</t>
        </is>
      </c>
      <c r="G10" s="19" t="inlineStr">
        <is>
          <t>Port / rail hub</t>
        </is>
      </c>
      <c r="I10" s="34" t="n">
        <v>5</v>
      </c>
      <c r="J10" s="13" t="inlineStr">
        <is>
          <t>Islamabad</t>
        </is>
      </c>
      <c r="K10" s="25" t="inlineStr">
        <is>
          <t>Islamabad ICT</t>
        </is>
      </c>
      <c r="L10" s="25" t="inlineStr">
        <is>
          <t>North</t>
        </is>
      </c>
      <c r="M10" s="25" t="inlineStr">
        <is>
          <t>No</t>
        </is>
      </c>
      <c r="N10" s="19" t="inlineStr">
        <is>
          <t>Dry port</t>
        </is>
      </c>
      <c r="O10" s="35">
        <f>IF($J10="","",TEXTJOIN(" | ",TRUE,IF($C$6:$C$28=$J10,$B$6:$B$28,"")))</f>
        <v/>
      </c>
    </row>
    <row r="11" ht="26" customHeight="1">
      <c r="A11" s="9" t="n">
        <v>6</v>
      </c>
      <c r="B11" s="20" t="inlineStr">
        <is>
          <t>Lahore</t>
        </is>
      </c>
      <c r="C11" s="19" t="inlineStr">
        <is>
          <t>Lahore</t>
        </is>
      </c>
      <c r="D11" s="19" t="inlineStr">
        <is>
          <t>Punjab</t>
        </is>
      </c>
      <c r="E11" s="19" t="inlineStr">
        <is>
          <t>North</t>
        </is>
      </c>
      <c r="F11" s="19" t="inlineStr">
        <is>
          <t>No</t>
        </is>
      </c>
      <c r="G11" s="19" t="inlineStr">
        <is>
          <t>Dry port / rail hub</t>
        </is>
      </c>
      <c r="I11" s="34" t="n">
        <v>6</v>
      </c>
      <c r="J11" s="13" t="inlineStr">
        <is>
          <t>Quetta</t>
        </is>
      </c>
      <c r="K11" s="25" t="inlineStr">
        <is>
          <t>Balochistan</t>
        </is>
      </c>
      <c r="L11" s="25" t="inlineStr">
        <is>
          <t>West</t>
        </is>
      </c>
      <c r="M11" s="25" t="inlineStr">
        <is>
          <t>No</t>
        </is>
      </c>
      <c r="N11" s="19" t="inlineStr">
        <is>
          <t>Inland depot</t>
        </is>
      </c>
      <c r="O11" s="35">
        <f>IF($J11="","",TEXTJOIN(" | ",TRUE,IF($C$6:$C$28=$J11,$B$6:$B$28,"")))</f>
        <v/>
      </c>
    </row>
    <row r="12" ht="26" customHeight="1">
      <c r="A12" s="9" t="n">
        <v>7</v>
      </c>
      <c r="B12" s="20" t="inlineStr">
        <is>
          <t>Karachi</t>
        </is>
      </c>
      <c r="C12" s="19" t="inlineStr">
        <is>
          <t>Karachi</t>
        </is>
      </c>
      <c r="D12" s="19" t="inlineStr">
        <is>
          <t>Sindh</t>
        </is>
      </c>
      <c r="E12" s="19" t="inlineStr">
        <is>
          <t>South</t>
        </is>
      </c>
      <c r="F12" s="19" t="inlineStr">
        <is>
          <t>Yes</t>
        </is>
      </c>
      <c r="G12" s="19" t="inlineStr">
        <is>
          <t>Port / rail hub</t>
        </is>
      </c>
      <c r="I12" s="34" t="n">
        <v>7</v>
      </c>
      <c r="J12" s="13" t="inlineStr">
        <is>
          <t>Faisalabad</t>
        </is>
      </c>
      <c r="K12" s="25" t="inlineStr">
        <is>
          <t>Punjab</t>
        </is>
      </c>
      <c r="L12" s="25" t="inlineStr">
        <is>
          <t>Central</t>
        </is>
      </c>
      <c r="M12" s="25" t="inlineStr">
        <is>
          <t>No</t>
        </is>
      </c>
      <c r="N12" s="19" t="inlineStr">
        <is>
          <t>Dry port</t>
        </is>
      </c>
      <c r="O12" s="35">
        <f>IF($J12="","",TEXTJOIN(" | ",TRUE,IF($C$6:$C$28=$J12,$B$6:$B$28,"")))</f>
        <v/>
      </c>
    </row>
    <row r="13" ht="26" customHeight="1">
      <c r="A13" s="9" t="n">
        <v>8</v>
      </c>
      <c r="B13" s="20" t="inlineStr">
        <is>
          <t>Multan</t>
        </is>
      </c>
      <c r="C13" s="19" t="inlineStr">
        <is>
          <t>Multan</t>
        </is>
      </c>
      <c r="D13" s="19" t="inlineStr">
        <is>
          <t>Punjab</t>
        </is>
      </c>
      <c r="E13" s="19" t="inlineStr">
        <is>
          <t>Central</t>
        </is>
      </c>
      <c r="F13" s="19" t="inlineStr">
        <is>
          <t>No</t>
        </is>
      </c>
      <c r="G13" s="19" t="inlineStr">
        <is>
          <t>Inland depot</t>
        </is>
      </c>
      <c r="I13" s="34" t="n">
        <v>8</v>
      </c>
      <c r="J13" s="13" t="inlineStr">
        <is>
          <t>Rawalpindi</t>
        </is>
      </c>
      <c r="K13" s="25" t="inlineStr">
        <is>
          <t>Punjab</t>
        </is>
      </c>
      <c r="L13" s="25" t="inlineStr">
        <is>
          <t>North</t>
        </is>
      </c>
      <c r="M13" s="25" t="inlineStr">
        <is>
          <t>No</t>
        </is>
      </c>
      <c r="N13" s="19" t="inlineStr">
        <is>
          <t>Rail hub</t>
        </is>
      </c>
      <c r="O13" s="35">
        <f>IF($J13="","",TEXTJOIN(" | ",TRUE,IF($C$6:$C$28=$J13,$B$6:$B$28,"")))</f>
        <v/>
      </c>
    </row>
    <row r="14" ht="26" customHeight="1">
      <c r="A14" s="9" t="n">
        <v>9</v>
      </c>
      <c r="B14" s="20" t="inlineStr">
        <is>
          <t>Islamabad</t>
        </is>
      </c>
      <c r="C14" s="19" t="inlineStr">
        <is>
          <t>Islamabad</t>
        </is>
      </c>
      <c r="D14" s="19" t="inlineStr">
        <is>
          <t>Islamabad ICT</t>
        </is>
      </c>
      <c r="E14" s="19" t="inlineStr">
        <is>
          <t>North</t>
        </is>
      </c>
      <c r="F14" s="19" t="inlineStr">
        <is>
          <t>No</t>
        </is>
      </c>
      <c r="G14" s="19" t="inlineStr">
        <is>
          <t>Dry port</t>
        </is>
      </c>
      <c r="I14" s="34" t="n">
        <v>9</v>
      </c>
      <c r="J14" s="13" t="inlineStr">
        <is>
          <t>Sialkot</t>
        </is>
      </c>
      <c r="K14" s="25" t="inlineStr">
        <is>
          <t>Punjab</t>
        </is>
      </c>
      <c r="L14" s="25" t="inlineStr">
        <is>
          <t>North</t>
        </is>
      </c>
      <c r="M14" s="25" t="inlineStr">
        <is>
          <t>No</t>
        </is>
      </c>
      <c r="N14" s="19" t="inlineStr">
        <is>
          <t>Dry port</t>
        </is>
      </c>
      <c r="O14" s="35">
        <f>IF($J14="","",TEXTJOIN(" | ",TRUE,IF($C$6:$C$28=$J14,$B$6:$B$28,"")))</f>
        <v/>
      </c>
    </row>
    <row r="15" ht="26" customHeight="1">
      <c r="A15" s="9" t="n">
        <v>10</v>
      </c>
      <c r="B15" s="20" t="inlineStr">
        <is>
          <t>Quetta</t>
        </is>
      </c>
      <c r="C15" s="19" t="inlineStr">
        <is>
          <t>Quetta</t>
        </is>
      </c>
      <c r="D15" s="19" t="inlineStr">
        <is>
          <t>Balochistan</t>
        </is>
      </c>
      <c r="E15" s="19" t="inlineStr">
        <is>
          <t>West</t>
        </is>
      </c>
      <c r="F15" s="19" t="inlineStr">
        <is>
          <t>No</t>
        </is>
      </c>
      <c r="G15" s="19" t="inlineStr">
        <is>
          <t>Inland depot</t>
        </is>
      </c>
      <c r="I15" s="34" t="n">
        <v>10</v>
      </c>
      <c r="J15" s="13" t="inlineStr">
        <is>
          <t>Peshawar</t>
        </is>
      </c>
      <c r="K15" s="25" t="inlineStr">
        <is>
          <t>Khyber Pakhtunkhwa</t>
        </is>
      </c>
      <c r="L15" s="25" t="inlineStr">
        <is>
          <t>North</t>
        </is>
      </c>
      <c r="M15" s="25" t="inlineStr">
        <is>
          <t>No</t>
        </is>
      </c>
      <c r="N15" s="19" t="inlineStr">
        <is>
          <t>Inland depot</t>
        </is>
      </c>
      <c r="O15" s="35">
        <f>IF($J15="","",TEXTJOIN(" | ",TRUE,IF($C$6:$C$28=$J15,$B$6:$B$28,"")))</f>
        <v/>
      </c>
    </row>
    <row r="16" ht="26" customHeight="1">
      <c r="A16" s="9" t="n">
        <v>11</v>
      </c>
      <c r="B16" s="20" t="inlineStr">
        <is>
          <t>Faisalabad</t>
        </is>
      </c>
      <c r="C16" s="19" t="inlineStr">
        <is>
          <t>Faisalabad</t>
        </is>
      </c>
      <c r="D16" s="19" t="inlineStr">
        <is>
          <t>Punjab</t>
        </is>
      </c>
      <c r="E16" s="19" t="inlineStr">
        <is>
          <t>Central</t>
        </is>
      </c>
      <c r="F16" s="19" t="inlineStr">
        <is>
          <t>No</t>
        </is>
      </c>
      <c r="G16" s="19" t="inlineStr">
        <is>
          <t>Dry port</t>
        </is>
      </c>
      <c r="I16" s="34" t="n">
        <v>11</v>
      </c>
      <c r="J16" s="13" t="inlineStr">
        <is>
          <t>Hyderabad</t>
        </is>
      </c>
      <c r="K16" s="25" t="inlineStr">
        <is>
          <t>Sindh</t>
        </is>
      </c>
      <c r="L16" s="25" t="inlineStr">
        <is>
          <t>South</t>
        </is>
      </c>
      <c r="M16" s="25" t="inlineStr">
        <is>
          <t>No</t>
        </is>
      </c>
      <c r="N16" s="19" t="inlineStr">
        <is>
          <t>Inland depot</t>
        </is>
      </c>
      <c r="O16" s="35">
        <f>IF($J16="","",TEXTJOIN(" | ",TRUE,IF($C$6:$C$28=$J16,$B$6:$B$28,"")))</f>
        <v/>
      </c>
    </row>
    <row r="17" ht="26" customHeight="1">
      <c r="A17" s="9" t="n">
        <v>12</v>
      </c>
      <c r="B17" s="20" t="inlineStr">
        <is>
          <t>Rawalpindi</t>
        </is>
      </c>
      <c r="C17" s="19" t="inlineStr">
        <is>
          <t>Rawalpindi</t>
        </is>
      </c>
      <c r="D17" s="19" t="inlineStr">
        <is>
          <t>Punjab</t>
        </is>
      </c>
      <c r="E17" s="19" t="inlineStr">
        <is>
          <t>North</t>
        </is>
      </c>
      <c r="F17" s="19" t="inlineStr">
        <is>
          <t>No</t>
        </is>
      </c>
      <c r="G17" s="19" t="inlineStr">
        <is>
          <t>Rail hub</t>
        </is>
      </c>
      <c r="I17" s="34" t="n">
        <v>12</v>
      </c>
      <c r="J17" s="13" t="inlineStr">
        <is>
          <t>Sukkur</t>
        </is>
      </c>
      <c r="K17" s="25" t="inlineStr">
        <is>
          <t>Sindh</t>
        </is>
      </c>
      <c r="L17" s="25" t="inlineStr">
        <is>
          <t>Central</t>
        </is>
      </c>
      <c r="M17" s="25" t="inlineStr">
        <is>
          <t>No</t>
        </is>
      </c>
      <c r="N17" s="19" t="inlineStr">
        <is>
          <t>Inland depot</t>
        </is>
      </c>
      <c r="O17" s="35">
        <f>IF($J17="","",TEXTJOIN(" | ",TRUE,IF($C$6:$C$28=$J17,$B$6:$B$28,"")))</f>
        <v/>
      </c>
    </row>
    <row r="18" ht="26" customHeight="1">
      <c r="A18" s="9" t="n">
        <v>13</v>
      </c>
      <c r="B18" s="20" t="inlineStr">
        <is>
          <t>Lahore Dry Port</t>
        </is>
      </c>
      <c r="C18" s="19" t="inlineStr">
        <is>
          <t>Lahore</t>
        </is>
      </c>
      <c r="D18" s="19" t="inlineStr">
        <is>
          <t>Punjab</t>
        </is>
      </c>
      <c r="E18" s="19" t="inlineStr">
        <is>
          <t>North</t>
        </is>
      </c>
      <c r="F18" s="19" t="inlineStr">
        <is>
          <t>No</t>
        </is>
      </c>
      <c r="G18" s="19" t="inlineStr">
        <is>
          <t>Dry port / rail hub</t>
        </is>
      </c>
      <c r="I18" s="34" t="n">
        <v>13</v>
      </c>
      <c r="J18" s="13" t="inlineStr">
        <is>
          <t>Gujranwala</t>
        </is>
      </c>
      <c r="K18" s="25" t="inlineStr">
        <is>
          <t>Punjab</t>
        </is>
      </c>
      <c r="L18" s="25" t="inlineStr">
        <is>
          <t>North</t>
        </is>
      </c>
      <c r="M18" s="25" t="inlineStr">
        <is>
          <t>No</t>
        </is>
      </c>
      <c r="N18" s="19" t="inlineStr">
        <is>
          <t>Inland depot</t>
        </is>
      </c>
      <c r="O18" s="35">
        <f>IF($J18="","",TEXTJOIN(" | ",TRUE,IF($C$6:$C$28=$J18,$B$6:$B$28,"")))</f>
        <v/>
      </c>
    </row>
    <row r="19" ht="26" customHeight="1">
      <c r="A19" s="9" t="n">
        <v>14</v>
      </c>
      <c r="B19" s="20" t="inlineStr">
        <is>
          <t>Faisalabad Dry Port</t>
        </is>
      </c>
      <c r="C19" s="19" t="inlineStr">
        <is>
          <t>Faisalabad</t>
        </is>
      </c>
      <c r="D19" s="19" t="inlineStr">
        <is>
          <t>Punjab</t>
        </is>
      </c>
      <c r="E19" s="19" t="inlineStr">
        <is>
          <t>Central</t>
        </is>
      </c>
      <c r="F19" s="19" t="inlineStr">
        <is>
          <t>No</t>
        </is>
      </c>
      <c r="G19" s="19" t="inlineStr">
        <is>
          <t>Dry port</t>
        </is>
      </c>
      <c r="I19" s="34" t="n">
        <v>14</v>
      </c>
      <c r="J19" s="13" t="inlineStr">
        <is>
          <t>Abbottabad</t>
        </is>
      </c>
      <c r="K19" s="25" t="inlineStr">
        <is>
          <t>Khyber Pakhtunkhwa</t>
        </is>
      </c>
      <c r="L19" s="25" t="inlineStr">
        <is>
          <t>North</t>
        </is>
      </c>
      <c r="M19" s="25" t="inlineStr">
        <is>
          <t>No</t>
        </is>
      </c>
      <c r="N19" s="19" t="inlineStr">
        <is>
          <t>Inland depot</t>
        </is>
      </c>
      <c r="O19" s="35">
        <f>IF($J19="","",TEXTJOIN(" | ",TRUE,IF($C$6:$C$28=$J19,$B$6:$B$28,"")))</f>
        <v/>
      </c>
    </row>
    <row r="20" ht="26" customHeight="1">
      <c r="A20" s="9" t="n">
        <v>15</v>
      </c>
      <c r="B20" s="20" t="inlineStr">
        <is>
          <t>Sialkot Dry Port</t>
        </is>
      </c>
      <c r="C20" s="19" t="inlineStr">
        <is>
          <t>Sialkot</t>
        </is>
      </c>
      <c r="D20" s="19" t="inlineStr">
        <is>
          <t>Punjab</t>
        </is>
      </c>
      <c r="E20" s="19" t="inlineStr">
        <is>
          <t>North</t>
        </is>
      </c>
      <c r="F20" s="19" t="inlineStr">
        <is>
          <t>No</t>
        </is>
      </c>
      <c r="G20" s="19" t="inlineStr">
        <is>
          <t>Dry port</t>
        </is>
      </c>
      <c r="I20" s="34" t="n">
        <v>-1</v>
      </c>
      <c r="J20" s="13" t="inlineStr">
        <is>
          <t>Unknown</t>
        </is>
      </c>
      <c r="K20" s="25" t="inlineStr">
        <is>
          <t>Unknown</t>
        </is>
      </c>
      <c r="L20" s="25" t="inlineStr">
        <is>
          <t>Unknown</t>
        </is>
      </c>
      <c r="M20" s="25" t="inlineStr">
        <is>
          <t>Unknown</t>
        </is>
      </c>
      <c r="N20" s="19" t="inlineStr">
        <is>
          <t>Unknown</t>
        </is>
      </c>
      <c r="O20" s="35" t="inlineStr">
        <is>
          <t>Unknown</t>
        </is>
      </c>
    </row>
    <row r="21">
      <c r="A21" s="9" t="n">
        <v>16</v>
      </c>
      <c r="B21" s="20" t="inlineStr">
        <is>
          <t>Peshawar</t>
        </is>
      </c>
      <c r="C21" s="19" t="inlineStr">
        <is>
          <t>Peshawar</t>
        </is>
      </c>
      <c r="D21" s="19" t="inlineStr">
        <is>
          <t>Khyber Pakhtunkhwa</t>
        </is>
      </c>
      <c r="E21" s="19" t="inlineStr">
        <is>
          <t>North</t>
        </is>
      </c>
      <c r="F21" s="19" t="inlineStr">
        <is>
          <t>No</t>
        </is>
      </c>
      <c r="G21" s="19" t="inlineStr">
        <is>
          <t>Inland depot</t>
        </is>
      </c>
    </row>
    <row r="22">
      <c r="A22" s="9" t="n">
        <v>17</v>
      </c>
      <c r="B22" s="20" t="inlineStr">
        <is>
          <t>Islamabad Dry Port</t>
        </is>
      </c>
      <c r="C22" s="19" t="inlineStr">
        <is>
          <t>Islamabad</t>
        </is>
      </c>
      <c r="D22" s="19" t="inlineStr">
        <is>
          <t>Islamabad ICT</t>
        </is>
      </c>
      <c r="E22" s="19" t="inlineStr">
        <is>
          <t>North</t>
        </is>
      </c>
      <c r="F22" s="19" t="inlineStr">
        <is>
          <t>No</t>
        </is>
      </c>
      <c r="G22" s="19" t="inlineStr">
        <is>
          <t>Dry port</t>
        </is>
      </c>
    </row>
    <row r="23">
      <c r="A23" s="9" t="n">
        <v>18</v>
      </c>
      <c r="B23" s="20" t="inlineStr">
        <is>
          <t>Hyderabad</t>
        </is>
      </c>
      <c r="C23" s="19" t="inlineStr">
        <is>
          <t>Hyderabad</t>
        </is>
      </c>
      <c r="D23" s="19" t="inlineStr">
        <is>
          <t>Sindh</t>
        </is>
      </c>
      <c r="E23" s="19" t="inlineStr">
        <is>
          <t>South</t>
        </is>
      </c>
      <c r="F23" s="19" t="inlineStr">
        <is>
          <t>No</t>
        </is>
      </c>
      <c r="G23" s="19" t="inlineStr">
        <is>
          <t>Inland depot</t>
        </is>
      </c>
    </row>
    <row r="24">
      <c r="A24" s="9" t="n">
        <v>19</v>
      </c>
      <c r="B24" s="20" t="inlineStr">
        <is>
          <t>Peshawar Cantt</t>
        </is>
      </c>
      <c r="C24" s="19" t="inlineStr">
        <is>
          <t>Peshawar</t>
        </is>
      </c>
      <c r="D24" s="19" t="inlineStr">
        <is>
          <t>Khyber Pakhtunkhwa</t>
        </is>
      </c>
      <c r="E24" s="19" t="inlineStr">
        <is>
          <t>North</t>
        </is>
      </c>
      <c r="F24" s="19" t="inlineStr">
        <is>
          <t>No</t>
        </is>
      </c>
      <c r="G24" s="19" t="inlineStr">
        <is>
          <t>Inland depot</t>
        </is>
      </c>
    </row>
    <row r="25">
      <c r="A25" s="9" t="n">
        <v>20</v>
      </c>
      <c r="B25" s="20" t="inlineStr">
        <is>
          <t>Sukkur</t>
        </is>
      </c>
      <c r="C25" s="19" t="inlineStr">
        <is>
          <t>Sukkur</t>
        </is>
      </c>
      <c r="D25" s="19" t="inlineStr">
        <is>
          <t>Sindh</t>
        </is>
      </c>
      <c r="E25" s="19" t="inlineStr">
        <is>
          <t>Central</t>
        </is>
      </c>
      <c r="F25" s="19" t="inlineStr">
        <is>
          <t>No</t>
        </is>
      </c>
      <c r="G25" s="19" t="inlineStr">
        <is>
          <t>Inland depot</t>
        </is>
      </c>
    </row>
    <row r="26">
      <c r="A26" s="9" t="n">
        <v>21</v>
      </c>
      <c r="B26" s="20" t="inlineStr">
        <is>
          <t>Sialkot</t>
        </is>
      </c>
      <c r="C26" s="19" t="inlineStr">
        <is>
          <t>Sialkot</t>
        </is>
      </c>
      <c r="D26" s="19" t="inlineStr">
        <is>
          <t>Punjab</t>
        </is>
      </c>
      <c r="E26" s="19" t="inlineStr">
        <is>
          <t>North</t>
        </is>
      </c>
      <c r="F26" s="19" t="inlineStr">
        <is>
          <t>No</t>
        </is>
      </c>
      <c r="G26" s="19" t="inlineStr">
        <is>
          <t>Dry port</t>
        </is>
      </c>
    </row>
    <row r="27">
      <c r="A27" s="9" t="n">
        <v>22</v>
      </c>
      <c r="B27" s="20" t="inlineStr">
        <is>
          <t>Gujranwala</t>
        </is>
      </c>
      <c r="C27" s="19" t="inlineStr">
        <is>
          <t>Gujranwala</t>
        </is>
      </c>
      <c r="D27" s="19" t="inlineStr">
        <is>
          <t>Punjab</t>
        </is>
      </c>
      <c r="E27" s="19" t="inlineStr">
        <is>
          <t>North</t>
        </is>
      </c>
      <c r="F27" s="19" t="inlineStr">
        <is>
          <t>No</t>
        </is>
      </c>
      <c r="G27" s="19" t="inlineStr">
        <is>
          <t>Inland depot</t>
        </is>
      </c>
    </row>
    <row r="28">
      <c r="A28" s="9" t="n">
        <v>23</v>
      </c>
      <c r="B28" s="20" t="inlineStr">
        <is>
          <t>Abbottabad</t>
        </is>
      </c>
      <c r="C28" s="19" t="inlineStr">
        <is>
          <t>Abbottabad</t>
        </is>
      </c>
      <c r="D28" s="19" t="inlineStr">
        <is>
          <t>Khyber Pakhtunkhwa</t>
        </is>
      </c>
      <c r="E28" s="19" t="inlineStr">
        <is>
          <t>North</t>
        </is>
      </c>
      <c r="F28" s="19" t="inlineStr">
        <is>
          <t>No</t>
        </is>
      </c>
      <c r="G28" s="19" t="inlineStr">
        <is>
          <t>Inland depot</t>
        </is>
      </c>
    </row>
    <row r="30" ht="22" customHeight="1">
      <c r="A30" s="3" t="inlineStr">
        <is>
          <t>SELF-CHECK  ·  THESE THREE MUST ALL PASS BEFORE YOU START T5</t>
        </is>
      </c>
    </row>
    <row r="31" ht="30" customHeight="1">
      <c r="B31" s="6" t="inlineStr"/>
      <c r="C31" s="6" t="inlineStr">
        <is>
          <t>Check</t>
        </is>
      </c>
      <c r="D31" s="6" t="inlineStr">
        <is>
          <t>Expected</t>
        </is>
      </c>
      <c r="E31" s="6" t="inlineStr">
        <is>
          <t>Your result</t>
        </is>
      </c>
      <c r="F31" s="6" t="inlineStr">
        <is>
          <t>Pass?</t>
        </is>
      </c>
    </row>
    <row r="32" ht="30" customHeight="1">
      <c r="C32" s="8" t="inlineStr">
        <is>
          <t>Distinct conformed city names in Block 1</t>
        </is>
      </c>
      <c r="D32" s="12" t="n">
        <v>14</v>
      </c>
      <c r="E32" s="36">
        <f>SUMPRODUCT((C6:C28&lt;&gt;"")/COUNTIF(C6:C28,C6:C28&amp;""))</f>
        <v/>
      </c>
      <c r="F32" s="9">
        <f>IF(E32=D32,"✔ pass","✘ fix")</f>
        <v/>
      </c>
      <c r="G32" s="10" t="inlineStr">
        <is>
          <t>If you get 15 or more you have left two spellings of one city apart. If 13 or fewer you have merged two genuinely different cities — check Islamabad against Rawalpindi.</t>
        </is>
      </c>
      <c r="H32" s="40" t="n"/>
      <c r="I32" s="40" t="n"/>
      <c r="J32" s="40" t="n"/>
      <c r="K32" s="40" t="n"/>
      <c r="L32" s="40" t="n"/>
      <c r="M32" s="40" t="n"/>
      <c r="N32" s="40" t="n"/>
      <c r="O32" s="41" t="n"/>
    </row>
    <row r="33" ht="30" customHeight="1">
      <c r="C33" s="8" t="inlineStr">
        <is>
          <t>Raw strings that map to Karachi</t>
        </is>
      </c>
      <c r="D33" s="12" t="n">
        <v>5</v>
      </c>
      <c r="E33" s="36">
        <f>COUNTIF(C6:C28,"Karachi")</f>
        <v/>
      </c>
      <c r="F33" s="9">
        <f>IF(E33=D33,"✔ pass","✘ fix")</f>
        <v/>
      </c>
      <c r="G33" s="10" t="inlineStr">
        <is>
          <t>Karachi Port, Port Qasim, Karachi Cantt, Pipri Marshalling Yard and plain Karachi are five facilities in one city. Merging them is the whole point; getting 2 means you kept the rail yards separate.</t>
        </is>
      </c>
      <c r="H33" s="40" t="n"/>
      <c r="I33" s="40" t="n"/>
      <c r="J33" s="40" t="n"/>
      <c r="K33" s="40" t="n"/>
      <c r="L33" s="40" t="n"/>
      <c r="M33" s="40" t="n"/>
      <c r="N33" s="40" t="n"/>
      <c r="O33" s="41" t="n"/>
    </row>
    <row r="34" ht="30" customHeight="1">
      <c r="C34" s="8" t="inlineStr">
        <is>
          <t>Rows in DimCity, excluding the Unknown row</t>
        </is>
      </c>
      <c r="D34" s="12" t="n">
        <v>14</v>
      </c>
      <c r="E34" s="36">
        <f>COUNTIF(I6:I20,"&gt;0")</f>
        <v/>
      </c>
      <c r="F34" s="9">
        <f>IF(E34=D34,"✔ pass","✘ fix")</f>
        <v/>
      </c>
      <c r="G34" s="10" t="inlineStr">
        <is>
          <t>Fourteen cities plus one reserved row with key -1. The -1 row is not optional — T6 needs somewhere to point when a future file arrives with a city nobody has mapped.</t>
        </is>
      </c>
      <c r="H34" s="40" t="n"/>
      <c r="I34" s="40" t="n"/>
      <c r="J34" s="40" t="n"/>
      <c r="K34" s="40" t="n"/>
      <c r="L34" s="40" t="n"/>
      <c r="M34" s="40" t="n"/>
      <c r="N34" s="40" t="n"/>
      <c r="O34" s="41" t="n"/>
    </row>
    <row r="36" ht="22" customHeight="1">
      <c r="A36" s="3" t="inlineStr">
        <is>
          <t>THE JUDGEMENT CALL  —  ANSWER BEFORE YOU MOVE ON</t>
        </is>
      </c>
    </row>
    <row r="37" ht="30" customHeight="1">
      <c r="B37" s="26" t="inlineStr">
        <is>
          <t>Consolidating Pipri with Karachi treats its rail yard as part of the Karachi service market; that can shift port-versus-inland capacity, investment or service-performance decisions.</t>
        </is>
      </c>
      <c r="C37" s="59" t="n"/>
      <c r="D37" s="59" t="n"/>
      <c r="E37" s="59" t="n"/>
      <c r="F37" s="58" t="n"/>
      <c r="G37" s="19" t="inlineStr"/>
      <c r="H37" s="59" t="n"/>
      <c r="I37" s="59" t="n"/>
      <c r="J37" s="59" t="n"/>
      <c r="K37" s="59" t="n"/>
      <c r="L37" s="59" t="n"/>
      <c r="M37" s="59" t="n"/>
      <c r="N37" s="59" t="n"/>
      <c r="O37" s="58" t="n"/>
    </row>
    <row r="38" ht="30" customHeight="1">
      <c r="B38" s="60" t="n"/>
      <c r="C38" s="62" t="n"/>
      <c r="D38" s="62" t="n"/>
      <c r="E38" s="62" t="n"/>
      <c r="F38" s="61" t="n"/>
      <c r="G38" s="60" t="n"/>
      <c r="H38" s="62" t="n"/>
      <c r="I38" s="62" t="n"/>
      <c r="J38" s="62" t="n"/>
      <c r="K38" s="62" t="n"/>
      <c r="L38" s="62" t="n"/>
      <c r="M38" s="62" t="n"/>
      <c r="N38" s="62" t="n"/>
      <c r="O38" s="61" t="n"/>
    </row>
    <row r="39" ht="30" customHeight="1">
      <c r="B39" s="26" t="inlineStr">
        <is>
          <t>Mapping Islamabad to Punjab misstates provincial freight, budgets and service comparisons; leaving Province blank drops or misgroups weight in provincial totals. Map it to Islamabad ICT.</t>
        </is>
      </c>
      <c r="C39" s="59" t="n"/>
      <c r="D39" s="59" t="n"/>
      <c r="E39" s="59" t="n"/>
      <c r="F39" s="58" t="n"/>
      <c r="G39" s="19" t="inlineStr"/>
      <c r="H39" s="59" t="n"/>
      <c r="I39" s="59" t="n"/>
      <c r="J39" s="59" t="n"/>
      <c r="K39" s="59" t="n"/>
      <c r="L39" s="59" t="n"/>
      <c r="M39" s="59" t="n"/>
      <c r="N39" s="59" t="n"/>
      <c r="O39" s="58" t="n"/>
    </row>
    <row r="40" ht="30" customHeight="1">
      <c r="B40" s="60" t="n"/>
      <c r="C40" s="62" t="n"/>
      <c r="D40" s="62" t="n"/>
      <c r="E40" s="62" t="n"/>
      <c r="F40" s="61" t="n"/>
      <c r="G40" s="60" t="n"/>
      <c r="H40" s="62" t="n"/>
      <c r="I40" s="62" t="n"/>
      <c r="J40" s="62" t="n"/>
      <c r="K40" s="62" t="n"/>
      <c r="L40" s="62" t="n"/>
      <c r="M40" s="62" t="n"/>
      <c r="N40" s="62" t="n"/>
      <c r="O40" s="61" t="n"/>
    </row>
    <row r="41" ht="41" customHeight="1">
      <c r="B41" s="26" t="inlineStr">
        <is>
          <t>Add the new raw label to the conformance map as Karachi (Sindh, South, port city, port facility), refresh the mapping, resolve its CityKey, then load/re-key affected fact rows and rerun the reconciliation checks.</t>
        </is>
      </c>
      <c r="C41" s="59" t="n"/>
      <c r="D41" s="59" t="n"/>
      <c r="E41" s="59" t="n"/>
      <c r="F41" s="58" t="n"/>
      <c r="G41" s="19" t="inlineStr"/>
      <c r="H41" s="59" t="n"/>
      <c r="I41" s="59" t="n"/>
      <c r="J41" s="59" t="n"/>
      <c r="K41" s="59" t="n"/>
      <c r="L41" s="59" t="n"/>
      <c r="M41" s="59" t="n"/>
      <c r="N41" s="59" t="n"/>
      <c r="O41" s="58" t="n"/>
    </row>
    <row r="42" ht="41" customHeight="1">
      <c r="B42" s="60" t="n"/>
      <c r="C42" s="62" t="n"/>
      <c r="D42" s="62" t="n"/>
      <c r="E42" s="62" t="n"/>
      <c r="F42" s="61" t="n"/>
      <c r="G42" s="60" t="n"/>
      <c r="H42" s="62" t="n"/>
      <c r="I42" s="62" t="n"/>
      <c r="J42" s="62" t="n"/>
      <c r="K42" s="62" t="n"/>
      <c r="L42" s="62" t="n"/>
      <c r="M42" s="62" t="n"/>
      <c r="N42" s="62" t="n"/>
      <c r="O42" s="61" t="n"/>
    </row>
    <row r="44" ht="26" customHeight="1">
      <c r="A44" s="24" t="inlineStr">
        <is>
          <t>Marking, 20 marks: conforming map 8 · provinces and regions correct 4 · DimCity built with a reused -1 row 4 · the three judgement questions 4. Karachi must be CityKey 1 everywhere it appears for the rest of the workbook to reconcile.</t>
        </is>
      </c>
    </row>
  </sheetData>
  <mergeCells count="15">
    <mergeCell ref="G32:O32"/>
    <mergeCell ref="A2:O2"/>
    <mergeCell ref="G33:O33"/>
    <mergeCell ref="G41:O42"/>
    <mergeCell ref="G39:O40"/>
    <mergeCell ref="A36:O36"/>
    <mergeCell ref="A44:O44"/>
    <mergeCell ref="B41:F42"/>
    <mergeCell ref="A1:O1"/>
    <mergeCell ref="B37:F38"/>
    <mergeCell ref="B39:F40"/>
    <mergeCell ref="A4:O4"/>
    <mergeCell ref="G34:O34"/>
    <mergeCell ref="A30:O30"/>
    <mergeCell ref="G37:O38"/>
  </mergeCells>
  <pageMargins left="0.75" right="0.75" top="1" bottom="1" header="0.5" footer="0.5"/>
</worksheet>
</file>

<file path=xl/worksheets/sheet7.xml><?xml version="1.0" encoding="utf-8"?>
<worksheet xmlns="http://schemas.openxmlformats.org/spreadsheetml/2006/main">
  <sheetPr>
    <tabColor rgb="00005A8C"/>
    <outlinePr summaryBelow="1" summaryRight="1"/>
    <pageSetUpPr/>
  </sheetPr>
  <dimension ref="A1:P94"/>
  <sheetViews>
    <sheetView showGridLines="0" workbookViewId="0">
      <pane ySplit="3" topLeftCell="A4" activePane="bottomLeft" state="frozen"/>
      <selection pane="bottomLeft" activeCell="A1" sqref="A1"/>
    </sheetView>
  </sheetViews>
  <sheetFormatPr baseColWidth="8" defaultRowHeight="15"/>
  <cols>
    <col width="4" customWidth="1" min="1" max="1"/>
    <col width="11" customWidth="1" min="2" max="2"/>
    <col width="13" customWidth="1" min="3" max="3"/>
    <col width="13" customWidth="1" min="4" max="4"/>
    <col width="26" customWidth="1" min="5" max="5"/>
    <col width="22" customWidth="1" min="6" max="6"/>
    <col width="17" customWidth="1" min="7" max="7"/>
    <col width="3" customWidth="1" min="8" max="8"/>
    <col width="26" customWidth="1" min="9" max="9"/>
    <col width="3" customWidth="1" min="10" max="10"/>
    <col width="10" customWidth="1" min="11" max="11"/>
    <col width="12" customWidth="1" min="12" max="12"/>
    <col width="24" customWidth="1" min="13" max="13"/>
    <col width="18" customWidth="1" min="14" max="14"/>
    <col width="20" customWidth="1" min="15" max="15"/>
    <col width="13" customWidth="1" min="16" max="16"/>
  </cols>
  <sheetData>
    <row r="1" ht="30" customHeight="1">
      <c r="A1" s="1" t="inlineStr">
        <is>
          <t>T5  ·  DimRoute, DimMode, DimStatus, DimDate</t>
        </is>
      </c>
    </row>
    <row r="2" ht="30" customHeight="1">
      <c r="A2" s="2" t="inlineStr">
        <is>
          <t>Four more dimensions. One of them contains a trap that the lecture slides walk straight past — find it in Block A before you fill anything in.</t>
        </is>
      </c>
    </row>
    <row r="4" ht="22" customHeight="1">
      <c r="A4" s="3" t="inlineStr">
        <is>
          <t>BLOCK A  ·  DIMROUTE  —  20 ROWS.  BUT THE RAW DATA HAS 30 DISTINCT PAIRS.</t>
        </is>
      </c>
    </row>
    <row r="5" ht="22" customHeight="1">
      <c r="A5" s="37" t="inlineStr">
        <is>
          <t>The lab brief says: 'Keep Origin and Destination, Remove Duplicates → 20 rows.' Try it on Shipments_Unified and you get 30. Column I below lists all 30 raw pairs. Before you build anything: write down why the two numbers differ, and which operation has to happen first.</t>
        </is>
      </c>
      <c r="B5" s="59" t="n"/>
      <c r="C5" s="59" t="n"/>
      <c r="D5" s="59" t="n"/>
      <c r="E5" s="59" t="n"/>
      <c r="F5" s="59" t="n"/>
      <c r="G5" s="59" t="n"/>
      <c r="H5" s="59" t="n"/>
      <c r="I5" s="59" t="n"/>
      <c r="J5" s="59" t="n"/>
      <c r="K5" s="59" t="n"/>
      <c r="L5" s="59" t="n"/>
      <c r="M5" s="59" t="n"/>
      <c r="N5" s="59" t="n"/>
      <c r="O5" s="59" t="n"/>
      <c r="P5" s="58" t="n"/>
    </row>
    <row r="6" ht="22" customHeight="1">
      <c r="A6" s="60" t="n"/>
      <c r="B6" s="62" t="n"/>
      <c r="C6" s="62" t="n"/>
      <c r="D6" s="62" t="n"/>
      <c r="E6" s="62" t="n"/>
      <c r="F6" s="62" t="n"/>
      <c r="G6" s="62" t="n"/>
      <c r="H6" s="62" t="n"/>
      <c r="I6" s="62" t="n"/>
      <c r="J6" s="62" t="n"/>
      <c r="K6" s="62" t="n"/>
      <c r="L6" s="62" t="n"/>
      <c r="M6" s="62" t="n"/>
      <c r="N6" s="62" t="n"/>
      <c r="O6" s="62" t="n"/>
      <c r="P6" s="61" t="n"/>
    </row>
    <row r="7" ht="52" customHeight="1">
      <c r="B7" s="8" t="inlineStr">
        <is>
          <t>Your answer:</t>
        </is>
      </c>
      <c r="C7" s="19" t="inlineStr">
        <is>
          <t>First map each raw Origin and Destination through the 23-to-14 DimCity conformance map, expand the CityKeys/CityNames, then remove duplicates on the pair of conformed CityKeys. Dedupe-before-conformance leaves 30 alias pairs; after conformance there are 20 real origin-destination routes.</t>
        </is>
      </c>
      <c r="D7" s="59" t="n"/>
      <c r="E7" s="59" t="n"/>
      <c r="F7" s="59" t="n"/>
      <c r="G7" s="58" t="n"/>
    </row>
    <row r="8" ht="52" customHeight="1">
      <c r="C8" s="60" t="n"/>
      <c r="D8" s="62" t="n"/>
      <c r="E8" s="62" t="n"/>
      <c r="F8" s="62" t="n"/>
      <c r="G8" s="61" t="n"/>
    </row>
    <row r="9" ht="30" customHeight="1">
      <c r="A9" s="6" t="inlineStr">
        <is>
          <t>#</t>
        </is>
      </c>
      <c r="B9" s="6" t="inlineStr">
        <is>
          <t>RouteKey</t>
        </is>
      </c>
      <c r="C9" s="6" t="inlineStr">
        <is>
          <t>OriginCityKey</t>
        </is>
      </c>
      <c r="D9" s="6" t="inlineStr">
        <is>
          <t>DestCityKey</t>
        </is>
      </c>
      <c r="E9" s="6" t="inlineStr">
        <is>
          <t>RouteName</t>
        </is>
      </c>
      <c r="F9" s="6" t="inlineStr">
        <is>
          <t>Corridor</t>
        </is>
      </c>
      <c r="G9" s="6" t="inlineStr">
        <is>
          <t>DistanceBand</t>
        </is>
      </c>
      <c r="I9" s="6" t="inlineStr">
        <is>
          <t>The 30 RAW origin → destination pairs (grey)</t>
        </is>
      </c>
    </row>
    <row r="10">
      <c r="A10" s="9" t="n">
        <v>1</v>
      </c>
      <c r="B10" s="34" t="n">
        <v>1</v>
      </c>
      <c r="C10" s="25" t="n">
        <v>1</v>
      </c>
      <c r="D10" s="25" t="n">
        <v>3</v>
      </c>
      <c r="E10" s="19" t="inlineStr">
        <is>
          <t>Karachi -&gt; Lahore</t>
        </is>
      </c>
      <c r="F10" s="19" t="inlineStr">
        <is>
          <t>South-North trunk</t>
        </is>
      </c>
      <c r="G10" s="25" t="inlineStr">
        <is>
          <t>Long (&gt;700 km)</t>
        </is>
      </c>
      <c r="I10" s="38" t="inlineStr">
        <is>
          <t>Karachi Port  →  Lahore Dry Port</t>
        </is>
      </c>
    </row>
    <row r="11">
      <c r="A11" s="9" t="n">
        <v>2</v>
      </c>
      <c r="B11" s="34" t="n">
        <v>2</v>
      </c>
      <c r="C11" s="25" t="n">
        <v>1</v>
      </c>
      <c r="D11" s="25" t="n">
        <v>7</v>
      </c>
      <c r="E11" s="19" t="inlineStr">
        <is>
          <t>Karachi -&gt; Faisalabad</t>
        </is>
      </c>
      <c r="F11" s="19" t="inlineStr">
        <is>
          <t>South-North trunk</t>
        </is>
      </c>
      <c r="G11" s="25" t="inlineStr">
        <is>
          <t>Long (&gt;700 km)</t>
        </is>
      </c>
      <c r="I11" s="38" t="inlineStr">
        <is>
          <t>Port Qasim  →  Faisalabad Dry Port</t>
        </is>
      </c>
    </row>
    <row r="12">
      <c r="A12" s="9" t="n">
        <v>3</v>
      </c>
      <c r="B12" s="34" t="n">
        <v>3</v>
      </c>
      <c r="C12" s="25" t="n">
        <v>2</v>
      </c>
      <c r="D12" s="25" t="n">
        <v>6</v>
      </c>
      <c r="E12" s="19" t="inlineStr">
        <is>
          <t>Gwadar -&gt; Quetta</t>
        </is>
      </c>
      <c r="F12" s="19" t="inlineStr">
        <is>
          <t>Balochistan corridor</t>
        </is>
      </c>
      <c r="G12" s="25" t="inlineStr">
        <is>
          <t>Long (&gt;700 km)</t>
        </is>
      </c>
      <c r="I12" s="38" t="inlineStr">
        <is>
          <t>Gwadar Port  →  Quetta</t>
        </is>
      </c>
    </row>
    <row r="13">
      <c r="A13" s="9" t="n">
        <v>4</v>
      </c>
      <c r="B13" s="34" t="n">
        <v>4</v>
      </c>
      <c r="C13" s="25" t="n">
        <v>1</v>
      </c>
      <c r="D13" s="25" t="n">
        <v>4</v>
      </c>
      <c r="E13" s="19" t="inlineStr">
        <is>
          <t>Karachi -&gt; Multan</t>
        </is>
      </c>
      <c r="F13" s="19" t="inlineStr">
        <is>
          <t>South-North trunk</t>
        </is>
      </c>
      <c r="G13" s="25" t="inlineStr">
        <is>
          <t>Long (&gt;700 km)</t>
        </is>
      </c>
      <c r="I13" s="38" t="inlineStr">
        <is>
          <t>Port Qasim  →  Multan</t>
        </is>
      </c>
    </row>
    <row r="14">
      <c r="A14" s="9" t="n">
        <v>5</v>
      </c>
      <c r="B14" s="34" t="n">
        <v>5</v>
      </c>
      <c r="C14" s="25" t="n">
        <v>1</v>
      </c>
      <c r="D14" s="25" t="n">
        <v>9</v>
      </c>
      <c r="E14" s="19" t="inlineStr">
        <is>
          <t>Karachi -&gt; Sialkot</t>
        </is>
      </c>
      <c r="F14" s="19" t="inlineStr">
        <is>
          <t>South-North trunk</t>
        </is>
      </c>
      <c r="G14" s="25" t="inlineStr">
        <is>
          <t>Long (&gt;700 km)</t>
        </is>
      </c>
      <c r="I14" s="38" t="inlineStr">
        <is>
          <t>Karachi Port  →  Sialkot Dry Port</t>
        </is>
      </c>
    </row>
    <row r="15">
      <c r="A15" s="9" t="n">
        <v>6</v>
      </c>
      <c r="B15" s="34" t="n">
        <v>6</v>
      </c>
      <c r="C15" s="25" t="n">
        <v>1</v>
      </c>
      <c r="D15" s="25" t="n">
        <v>10</v>
      </c>
      <c r="E15" s="19" t="inlineStr">
        <is>
          <t>Karachi -&gt; Peshawar</t>
        </is>
      </c>
      <c r="F15" s="19" t="inlineStr">
        <is>
          <t>South-North trunk</t>
        </is>
      </c>
      <c r="G15" s="25" t="inlineStr">
        <is>
          <t>Long (&gt;700 km)</t>
        </is>
      </c>
      <c r="I15" s="38" t="inlineStr">
        <is>
          <t>Port Qasim  →  Lahore Dry Port</t>
        </is>
      </c>
    </row>
    <row r="16">
      <c r="A16" s="9" t="n">
        <v>7</v>
      </c>
      <c r="B16" s="34" t="n">
        <v>7</v>
      </c>
      <c r="C16" s="25" t="n">
        <v>2</v>
      </c>
      <c r="D16" s="25" t="n">
        <v>1</v>
      </c>
      <c r="E16" s="19" t="inlineStr">
        <is>
          <t>Gwadar -&gt; Karachi</t>
        </is>
      </c>
      <c r="F16" s="19" t="inlineStr">
        <is>
          <t>Balochistan connector</t>
        </is>
      </c>
      <c r="G16" s="25" t="inlineStr">
        <is>
          <t>Medium (301-700 km)</t>
        </is>
      </c>
      <c r="I16" s="38" t="inlineStr">
        <is>
          <t>Karachi Port  →  Peshawar</t>
        </is>
      </c>
    </row>
    <row r="17">
      <c r="A17" s="9" t="n">
        <v>8</v>
      </c>
      <c r="B17" s="34" t="n">
        <v>8</v>
      </c>
      <c r="C17" s="25" t="n">
        <v>1</v>
      </c>
      <c r="D17" s="25" t="n">
        <v>5</v>
      </c>
      <c r="E17" s="19" t="inlineStr">
        <is>
          <t>Karachi -&gt; Islamabad</t>
        </is>
      </c>
      <c r="F17" s="19" t="inlineStr">
        <is>
          <t>South-North trunk</t>
        </is>
      </c>
      <c r="G17" s="25" t="inlineStr">
        <is>
          <t>Long (&gt;700 km)</t>
        </is>
      </c>
      <c r="I17" s="38" t="inlineStr">
        <is>
          <t>Gwadar Port  →  Karachi Cantt</t>
        </is>
      </c>
    </row>
    <row r="18">
      <c r="A18" s="9" t="n">
        <v>9</v>
      </c>
      <c r="B18" s="34" t="n">
        <v>9</v>
      </c>
      <c r="C18" s="25" t="n">
        <v>1</v>
      </c>
      <c r="D18" s="25" t="n">
        <v>11</v>
      </c>
      <c r="E18" s="19" t="inlineStr">
        <is>
          <t>Karachi -&gt; Hyderabad</t>
        </is>
      </c>
      <c r="F18" s="19" t="inlineStr">
        <is>
          <t>Sindh corridor</t>
        </is>
      </c>
      <c r="G18" s="25" t="inlineStr">
        <is>
          <t>Short (&lt;=300 km)</t>
        </is>
      </c>
      <c r="I18" s="38" t="inlineStr">
        <is>
          <t>Port Qasim  →  Islamabad Dry Port</t>
        </is>
      </c>
    </row>
    <row r="19">
      <c r="A19" s="9" t="n">
        <v>10</v>
      </c>
      <c r="B19" s="34" t="n">
        <v>10</v>
      </c>
      <c r="C19" s="25" t="n">
        <v>1</v>
      </c>
      <c r="D19" s="25" t="n">
        <v>8</v>
      </c>
      <c r="E19" s="19" t="inlineStr">
        <is>
          <t>Karachi -&gt; Rawalpindi</t>
        </is>
      </c>
      <c r="F19" s="19" t="inlineStr">
        <is>
          <t>South-North trunk</t>
        </is>
      </c>
      <c r="G19" s="25" t="inlineStr">
        <is>
          <t>Long (&gt;700 km)</t>
        </is>
      </c>
      <c r="I19" s="38" t="inlineStr">
        <is>
          <t>Karachi Port  →  Hyderabad</t>
        </is>
      </c>
    </row>
    <row r="20">
      <c r="A20" s="9" t="n">
        <v>11</v>
      </c>
      <c r="B20" s="34" t="n">
        <v>11</v>
      </c>
      <c r="C20" s="25" t="n">
        <v>1</v>
      </c>
      <c r="D20" s="25" t="n">
        <v>12</v>
      </c>
      <c r="E20" s="19" t="inlineStr">
        <is>
          <t>Karachi -&gt; Sukkur</t>
        </is>
      </c>
      <c r="F20" s="19" t="inlineStr">
        <is>
          <t>Sindh corridor</t>
        </is>
      </c>
      <c r="G20" s="25" t="inlineStr">
        <is>
          <t>Medium (301-700 km)</t>
        </is>
      </c>
      <c r="I20" s="38" t="inlineStr">
        <is>
          <t>Karachi Cantt  →  Lahore</t>
        </is>
      </c>
    </row>
    <row r="21">
      <c r="A21" s="9" t="n">
        <v>12</v>
      </c>
      <c r="B21" s="34" t="n">
        <v>12</v>
      </c>
      <c r="C21" s="25" t="n">
        <v>3</v>
      </c>
      <c r="D21" s="25" t="n">
        <v>5</v>
      </c>
      <c r="E21" s="19" t="inlineStr">
        <is>
          <t>Lahore -&gt; Islamabad</t>
        </is>
      </c>
      <c r="F21" s="19" t="inlineStr">
        <is>
          <t>Central-North connector</t>
        </is>
      </c>
      <c r="G21" s="25" t="inlineStr">
        <is>
          <t>Short (&lt;=300 km)</t>
        </is>
      </c>
      <c r="I21" s="38" t="inlineStr">
        <is>
          <t>Karachi Cantt  →  Rawalpindi</t>
        </is>
      </c>
    </row>
    <row r="22">
      <c r="A22" s="9" t="n">
        <v>13</v>
      </c>
      <c r="B22" s="34" t="n">
        <v>13</v>
      </c>
      <c r="C22" s="25" t="n">
        <v>3</v>
      </c>
      <c r="D22" s="25" t="n">
        <v>7</v>
      </c>
      <c r="E22" s="19" t="inlineStr">
        <is>
          <t>Lahore -&gt; Faisalabad</t>
        </is>
      </c>
      <c r="F22" s="19" t="inlineStr">
        <is>
          <t>Punjab corridor</t>
        </is>
      </c>
      <c r="G22" s="25" t="inlineStr">
        <is>
          <t>Short (&lt;=300 km)</t>
        </is>
      </c>
      <c r="I22" s="38" t="inlineStr">
        <is>
          <t>Pipri Marshalling Yard  →  Faisalabad</t>
        </is>
      </c>
    </row>
    <row r="23">
      <c r="A23" s="9" t="n">
        <v>14</v>
      </c>
      <c r="B23" s="34" t="n">
        <v>14</v>
      </c>
      <c r="C23" s="25" t="n">
        <v>4</v>
      </c>
      <c r="D23" s="25" t="n">
        <v>3</v>
      </c>
      <c r="E23" s="19" t="inlineStr">
        <is>
          <t>Multan -&gt; Lahore</t>
        </is>
      </c>
      <c r="F23" s="19" t="inlineStr">
        <is>
          <t>Punjab corridor</t>
        </is>
      </c>
      <c r="G23" s="25" t="inlineStr">
        <is>
          <t>Medium (301-700 km)</t>
        </is>
      </c>
      <c r="I23" s="38" t="inlineStr">
        <is>
          <t>Karachi Cantt  →  Multan</t>
        </is>
      </c>
    </row>
    <row r="24">
      <c r="A24" s="9" t="n">
        <v>15</v>
      </c>
      <c r="B24" s="34" t="n">
        <v>15</v>
      </c>
      <c r="C24" s="25" t="n">
        <v>5</v>
      </c>
      <c r="D24" s="25" t="n">
        <v>10</v>
      </c>
      <c r="E24" s="19" t="inlineStr">
        <is>
          <t>Islamabad -&gt; Peshawar</t>
        </is>
      </c>
      <c r="F24" s="19" t="inlineStr">
        <is>
          <t>Central-North connector</t>
        </is>
      </c>
      <c r="G24" s="25" t="inlineStr">
        <is>
          <t>Short (&lt;=300 km)</t>
        </is>
      </c>
      <c r="I24" s="38" t="inlineStr">
        <is>
          <t>Pipri Marshalling Yard  →  Lahore</t>
        </is>
      </c>
    </row>
    <row r="25">
      <c r="A25" s="9" t="n">
        <v>16</v>
      </c>
      <c r="B25" s="34" t="n">
        <v>16</v>
      </c>
      <c r="C25" s="25" t="n">
        <v>3</v>
      </c>
      <c r="D25" s="25" t="n">
        <v>9</v>
      </c>
      <c r="E25" s="19" t="inlineStr">
        <is>
          <t>Lahore -&gt; Sialkot</t>
        </is>
      </c>
      <c r="F25" s="19" t="inlineStr">
        <is>
          <t>Punjab corridor</t>
        </is>
      </c>
      <c r="G25" s="25" t="inlineStr">
        <is>
          <t>Short (&lt;=300 km)</t>
        </is>
      </c>
      <c r="I25" s="38" t="inlineStr">
        <is>
          <t>Karachi Cantt  →  Peshawar Cantt</t>
        </is>
      </c>
    </row>
    <row r="26">
      <c r="A26" s="9" t="n">
        <v>17</v>
      </c>
      <c r="B26" s="34" t="n">
        <v>17</v>
      </c>
      <c r="C26" s="25" t="n">
        <v>6</v>
      </c>
      <c r="D26" s="25" t="n">
        <v>1</v>
      </c>
      <c r="E26" s="19" t="inlineStr">
        <is>
          <t>Quetta -&gt; Karachi</t>
        </is>
      </c>
      <c r="F26" s="19" t="inlineStr">
        <is>
          <t>Balochistan connector</t>
        </is>
      </c>
      <c r="G26" s="25" t="inlineStr">
        <is>
          <t>Medium (301-700 km)</t>
        </is>
      </c>
      <c r="I26" s="38" t="inlineStr">
        <is>
          <t>Pipri Marshalling Yard  →  Rawalpindi</t>
        </is>
      </c>
    </row>
    <row r="27">
      <c r="A27" s="9" t="n">
        <v>18</v>
      </c>
      <c r="B27" s="34" t="n">
        <v>18</v>
      </c>
      <c r="C27" s="25" t="n">
        <v>7</v>
      </c>
      <c r="D27" s="25" t="n">
        <v>4</v>
      </c>
      <c r="E27" s="19" t="inlineStr">
        <is>
          <t>Faisalabad -&gt; Multan</t>
        </is>
      </c>
      <c r="F27" s="19" t="inlineStr">
        <is>
          <t>Punjab corridor</t>
        </is>
      </c>
      <c r="G27" s="25" t="inlineStr">
        <is>
          <t>Short (&lt;=300 km)</t>
        </is>
      </c>
      <c r="I27" s="38" t="inlineStr">
        <is>
          <t>Karachi Cantt  →  Sukkur</t>
        </is>
      </c>
    </row>
    <row r="28">
      <c r="A28" s="9" t="n">
        <v>19</v>
      </c>
      <c r="B28" s="34" t="n">
        <v>19</v>
      </c>
      <c r="C28" s="25" t="n">
        <v>3</v>
      </c>
      <c r="D28" s="25" t="n">
        <v>13</v>
      </c>
      <c r="E28" s="19" t="inlineStr">
        <is>
          <t>Lahore -&gt; Gujranwala</t>
        </is>
      </c>
      <c r="F28" s="19" t="inlineStr">
        <is>
          <t>Punjab corridor</t>
        </is>
      </c>
      <c r="G28" s="25" t="inlineStr">
        <is>
          <t>Short (&lt;=300 km)</t>
        </is>
      </c>
      <c r="I28" s="38" t="inlineStr">
        <is>
          <t>Pipri Marshalling Yard  →  Multan</t>
        </is>
      </c>
    </row>
    <row r="29">
      <c r="A29" s="9" t="n">
        <v>20</v>
      </c>
      <c r="B29" s="34" t="n">
        <v>20</v>
      </c>
      <c r="C29" s="25" t="n">
        <v>8</v>
      </c>
      <c r="D29" s="25" t="n">
        <v>14</v>
      </c>
      <c r="E29" s="19" t="inlineStr">
        <is>
          <t>Rawalpindi -&gt; Abbottabad</t>
        </is>
      </c>
      <c r="F29" s="19" t="inlineStr">
        <is>
          <t>Central-North connector</t>
        </is>
      </c>
      <c r="G29" s="25" t="inlineStr">
        <is>
          <t>Short (&lt;=300 km)</t>
        </is>
      </c>
      <c r="I29" s="38" t="inlineStr">
        <is>
          <t>Lahore  →  Islamabad</t>
        </is>
      </c>
    </row>
    <row r="30">
      <c r="A30" s="9" t="inlineStr"/>
      <c r="B30" s="34" t="n">
        <v>-1</v>
      </c>
      <c r="C30" s="25" t="n">
        <v>-1</v>
      </c>
      <c r="D30" s="25" t="n">
        <v>-1</v>
      </c>
      <c r="E30" s="19" t="inlineStr">
        <is>
          <t>Unknown</t>
        </is>
      </c>
      <c r="F30" s="19" t="inlineStr">
        <is>
          <t>Unknown</t>
        </is>
      </c>
      <c r="G30" s="25" t="inlineStr">
        <is>
          <t>Unknown</t>
        </is>
      </c>
      <c r="I30" s="38" t="inlineStr">
        <is>
          <t>Karachi  →  Hyderabad</t>
        </is>
      </c>
    </row>
    <row r="31">
      <c r="I31" s="38" t="inlineStr">
        <is>
          <t>Lahore  →  Faisalabad</t>
        </is>
      </c>
    </row>
    <row r="32">
      <c r="I32" s="38" t="inlineStr">
        <is>
          <t>Multan  →  Lahore</t>
        </is>
      </c>
    </row>
    <row r="33">
      <c r="I33" s="38" t="inlineStr">
        <is>
          <t>Islamabad  →  Peshawar</t>
        </is>
      </c>
    </row>
    <row r="34">
      <c r="I34" s="38" t="inlineStr">
        <is>
          <t>Karachi  →  Sukkur</t>
        </is>
      </c>
    </row>
    <row r="35">
      <c r="I35" s="38" t="inlineStr">
        <is>
          <t>Lahore  →  Sialkot</t>
        </is>
      </c>
    </row>
    <row r="36">
      <c r="I36" s="38" t="inlineStr">
        <is>
          <t>Quetta  →  Karachi</t>
        </is>
      </c>
    </row>
    <row r="37">
      <c r="I37" s="38" t="inlineStr">
        <is>
          <t>Faisalabad  →  Multan</t>
        </is>
      </c>
    </row>
    <row r="38">
      <c r="I38" s="38" t="inlineStr">
        <is>
          <t>Lahore  →  Gujranwala</t>
        </is>
      </c>
    </row>
    <row r="39">
      <c r="I39" s="38" t="inlineStr">
        <is>
          <t>Rawalpindi  →  Abbottabad</t>
        </is>
      </c>
    </row>
    <row r="40">
      <c r="I40" s="39" t="inlineStr">
        <is>
          <t>30 raw pairs  →  20 conformed routes</t>
        </is>
      </c>
    </row>
    <row r="41">
      <c r="B41" s="8" t="inlineStr">
        <is>
          <t>Check · distinct RouteName values</t>
        </is>
      </c>
      <c r="C41" s="40" t="n"/>
      <c r="D41" s="41" t="n"/>
      <c r="E41" s="36">
        <f>SUMPRODUCT((E10:E30&lt;&gt;"")/COUNTIF(E10:E30,E10:E30&amp;""))</f>
        <v/>
      </c>
      <c r="F41" s="12" t="n">
        <v>21</v>
      </c>
      <c r="G41" s="9">
        <f>IF(E41=F41,"✔ pass","✘ fix")</f>
        <v/>
      </c>
      <c r="I41" s="10" t="inlineStr">
        <is>
          <t>20 real routes + 1 Unknown row = 21 distinct names.</t>
        </is>
      </c>
      <c r="J41" s="40" t="n"/>
      <c r="K41" s="40" t="n"/>
      <c r="L41" s="40" t="n"/>
      <c r="M41" s="40" t="n"/>
      <c r="N41" s="40" t="n"/>
      <c r="O41" s="40" t="n"/>
      <c r="P41" s="41" t="n"/>
    </row>
    <row r="43" ht="22" customHeight="1">
      <c r="A43" s="3" t="inlineStr">
        <is>
          <t>BLOCK B  ·  DIMMODE AND DIMSTATUS  —  TYPED BY HAND. THIS IS REFERENCE DATA, NOT SOURCE DATA.</t>
        </is>
      </c>
    </row>
    <row r="44" ht="30" customHeight="1">
      <c r="A44" s="6" t="inlineStr"/>
      <c r="B44" s="6" t="inlineStr">
        <is>
          <t>ModeKey</t>
        </is>
      </c>
      <c r="C44" s="6" t="inlineStr">
        <is>
          <t>ModeName</t>
        </is>
      </c>
      <c r="D44" s="6" t="inlineStr">
        <is>
          <t>Carrier</t>
        </is>
      </c>
      <c r="E44" s="6" t="inlineStr">
        <is>
          <t>TonnageClass</t>
        </is>
      </c>
      <c r="F44" s="6" t="inlineStr">
        <is>
          <t>CostProfile</t>
        </is>
      </c>
      <c r="G44" s="6" t="inlineStr">
        <is>
          <t>Containerised?</t>
        </is>
      </c>
      <c r="K44" s="6" t="inlineStr">
        <is>
          <t>StatusKey</t>
        </is>
      </c>
      <c r="L44" s="6" t="inlineStr">
        <is>
          <t>StatusName</t>
        </is>
      </c>
      <c r="M44" s="6" t="inlineStr">
        <is>
          <t>IsClosed</t>
        </is>
      </c>
      <c r="N44" s="6" t="inlineStr">
        <is>
          <t>IsException</t>
        </is>
      </c>
      <c r="O44" s="6" t="inlineStr">
        <is>
          <t>DisplayOrder</t>
        </is>
      </c>
    </row>
    <row r="45" ht="24" customHeight="1">
      <c r="B45" s="34" t="n">
        <v>1</v>
      </c>
      <c r="C45" s="19" t="inlineStr">
        <is>
          <t>Marine</t>
        </is>
      </c>
      <c r="D45" s="19" t="inlineStr">
        <is>
          <t>PakFreight Shipping Ltd</t>
        </is>
      </c>
      <c r="E45" s="19" t="inlineStr">
        <is>
          <t>Heavy (10-25 t)</t>
        </is>
      </c>
      <c r="F45" s="19" t="inlineStr">
        <is>
          <t>Low cost / slow</t>
        </is>
      </c>
      <c r="G45" s="19" t="inlineStr">
        <is>
          <t>Yes</t>
        </is>
      </c>
      <c r="K45" s="34" t="n">
        <v>1</v>
      </c>
      <c r="L45" s="25" t="inlineStr">
        <is>
          <t>Delivered</t>
        </is>
      </c>
      <c r="M45" s="25" t="inlineStr">
        <is>
          <t>Yes</t>
        </is>
      </c>
      <c r="N45" s="25" t="inlineStr">
        <is>
          <t>No</t>
        </is>
      </c>
      <c r="O45" s="25" t="n">
        <v>1</v>
      </c>
    </row>
    <row r="46" ht="24" customHeight="1">
      <c r="B46" s="34" t="n">
        <v>2</v>
      </c>
      <c r="C46" s="19" t="inlineStr">
        <is>
          <t>Rail</t>
        </is>
      </c>
      <c r="D46" s="19" t="inlineStr">
        <is>
          <t>Pakistan Railways Freight</t>
        </is>
      </c>
      <c r="E46" s="19" t="inlineStr">
        <is>
          <t>Bulk (25-35 t)</t>
        </is>
      </c>
      <c r="F46" s="19" t="inlineStr">
        <is>
          <t>Medium cost / medium</t>
        </is>
      </c>
      <c r="G46" s="19" t="inlineStr">
        <is>
          <t>Partial</t>
        </is>
      </c>
      <c r="K46" s="34" t="n">
        <v>2</v>
      </c>
      <c r="L46" s="25" t="inlineStr">
        <is>
          <t>In Transit</t>
        </is>
      </c>
      <c r="M46" s="25" t="inlineStr">
        <is>
          <t>No</t>
        </is>
      </c>
      <c r="N46" s="25" t="inlineStr">
        <is>
          <t>No</t>
        </is>
      </c>
      <c r="O46" s="25" t="n">
        <v>2</v>
      </c>
    </row>
    <row r="47" ht="24" customHeight="1">
      <c r="B47" s="34" t="n">
        <v>3</v>
      </c>
      <c r="C47" s="19" t="inlineStr">
        <is>
          <t>Road</t>
        </is>
      </c>
      <c r="D47" s="19" t="inlineStr">
        <is>
          <t>PakFreight Trucking</t>
        </is>
      </c>
      <c r="E47" s="19" t="inlineStr">
        <is>
          <t>Light (5-8 t)</t>
        </is>
      </c>
      <c r="F47" s="19" t="inlineStr">
        <is>
          <t>High cost / fast</t>
        </is>
      </c>
      <c r="G47" s="19" t="inlineStr">
        <is>
          <t>No</t>
        </is>
      </c>
      <c r="K47" s="34" t="n">
        <v>3</v>
      </c>
      <c r="L47" s="25" t="inlineStr">
        <is>
          <t>Delayed</t>
        </is>
      </c>
      <c r="M47" s="25" t="inlineStr">
        <is>
          <t>No</t>
        </is>
      </c>
      <c r="N47" s="25" t="inlineStr">
        <is>
          <t>Yes</t>
        </is>
      </c>
      <c r="O47" s="25" t="n">
        <v>3</v>
      </c>
    </row>
    <row r="48" ht="24" customHeight="1">
      <c r="B48" s="34" t="n">
        <v>-1</v>
      </c>
      <c r="C48" s="19" t="inlineStr">
        <is>
          <t>Unknown</t>
        </is>
      </c>
      <c r="D48" s="19" t="inlineStr">
        <is>
          <t>Unknown</t>
        </is>
      </c>
      <c r="E48" s="19" t="inlineStr">
        <is>
          <t>Unknown</t>
        </is>
      </c>
      <c r="F48" s="19" t="inlineStr">
        <is>
          <t>Unknown</t>
        </is>
      </c>
      <c r="G48" s="19" t="inlineStr">
        <is>
          <t>Unknown</t>
        </is>
      </c>
      <c r="K48" s="34" t="n">
        <v>-1</v>
      </c>
      <c r="L48" s="25" t="inlineStr">
        <is>
          <t>Unknown</t>
        </is>
      </c>
      <c r="M48" s="25" t="inlineStr">
        <is>
          <t>No</t>
        </is>
      </c>
      <c r="N48" s="25" t="inlineStr">
        <is>
          <t>Yes</t>
        </is>
      </c>
      <c r="O48" s="25" t="n">
        <v>99</v>
      </c>
    </row>
    <row r="49" ht="30" customHeight="1">
      <c r="B49" s="28" t="inlineStr">
        <is>
          <t>Both tables carry a row with key -1 called Unknown. It is not decoration: in T6 every lookup is a LEFT join, and a row whose mode nobody recognises must land somewhere visible rather than disappear. A fact row pointing at Unknown is a bug you can count; a fact row silently dropped is a bug you discover in a board meeting.</t>
        </is>
      </c>
      <c r="C49" s="40" t="n"/>
      <c r="D49" s="40" t="n"/>
      <c r="E49" s="40" t="n"/>
      <c r="F49" s="40" t="n"/>
      <c r="G49" s="40" t="n"/>
      <c r="H49" s="40" t="n"/>
      <c r="I49" s="40" t="n"/>
      <c r="J49" s="40" t="n"/>
      <c r="K49" s="40" t="n"/>
      <c r="L49" s="40" t="n"/>
      <c r="M49" s="40" t="n"/>
      <c r="N49" s="40" t="n"/>
      <c r="O49" s="40" t="n"/>
      <c r="P49" s="41" t="n"/>
    </row>
    <row r="51" ht="22" customHeight="1">
      <c r="A51" s="3" t="inlineStr">
        <is>
          <t>BLOCK C  ·  DIMDATE  —  28 ROWS FOR FEBRUARY 2026, INCLUDING THE QUIET DAYS</t>
        </is>
      </c>
    </row>
    <row r="52" ht="30" customHeight="1">
      <c r="A52" s="6" t="inlineStr"/>
      <c r="B52" s="6" t="inlineStr">
        <is>
          <t>DateKey</t>
        </is>
      </c>
      <c r="C52" s="6" t="inlineStr">
        <is>
          <t>FullDate</t>
        </is>
      </c>
      <c r="D52" s="6" t="inlineStr">
        <is>
          <t>Year</t>
        </is>
      </c>
      <c r="E52" s="6" t="inlineStr">
        <is>
          <t>Quarter</t>
        </is>
      </c>
      <c r="F52" s="6" t="inlineStr">
        <is>
          <t>MonthNumber</t>
        </is>
      </c>
      <c r="G52" s="6" t="inlineStr">
        <is>
          <t>MonthName</t>
        </is>
      </c>
      <c r="H52" s="6" t="inlineStr"/>
      <c r="I52" s="6" t="inlineStr">
        <is>
          <t>DayOfMonth</t>
        </is>
      </c>
      <c r="J52" s="6" t="inlineStr"/>
      <c r="K52" s="6" t="inlineStr">
        <is>
          <t>DayNumber</t>
        </is>
      </c>
      <c r="L52" s="6" t="inlineStr">
        <is>
          <t>DayName</t>
        </is>
      </c>
      <c r="M52" s="6" t="inlineStr">
        <is>
          <t>IsWeekend</t>
        </is>
      </c>
      <c r="N52" s="6" t="inlineStr">
        <is>
          <t>IsHoliday</t>
        </is>
      </c>
      <c r="O52" s="6" t="inlineStr">
        <is>
          <t>Shipments that day</t>
        </is>
      </c>
      <c r="P52" s="6" t="inlineStr">
        <is>
          <t>In fact table?</t>
        </is>
      </c>
    </row>
    <row r="53">
      <c r="B53" s="25">
        <f>YEAR(C53)*10000+MONTH(C53)*100+DAY(C53)</f>
        <v/>
      </c>
      <c r="C53" s="66" t="n">
        <v>46054</v>
      </c>
      <c r="D53" s="25" t="n">
        <v>2026</v>
      </c>
      <c r="E53" s="25" t="inlineStr">
        <is>
          <t>Q1</t>
        </is>
      </c>
      <c r="F53" s="25" t="n">
        <v>2</v>
      </c>
      <c r="G53" s="25" t="inlineStr">
        <is>
          <t>February</t>
        </is>
      </c>
      <c r="I53" s="25" t="n">
        <v>1</v>
      </c>
      <c r="K53" s="25" t="n">
        <v>1</v>
      </c>
      <c r="L53" s="25" t="inlineStr">
        <is>
          <t>Sunday</t>
        </is>
      </c>
      <c r="M53" s="25" t="inlineStr">
        <is>
          <t>Yes</t>
        </is>
      </c>
      <c r="N53" s="25" t="inlineStr">
        <is>
          <t>No</t>
        </is>
      </c>
      <c r="O53" s="36">
        <f>COUNTIF(Shipments_Unified!$B$5:$B$38,C53)</f>
        <v/>
      </c>
      <c r="P53" s="36">
        <f>IF(O53&gt;0,"yes","— quiet day")</f>
        <v/>
      </c>
    </row>
    <row r="54">
      <c r="B54" s="25">
        <f>YEAR(C54)*10000+MONTH(C54)*100+DAY(C54)</f>
        <v/>
      </c>
      <c r="C54" s="66" t="n">
        <v>46055</v>
      </c>
      <c r="D54" s="25" t="n">
        <v>2026</v>
      </c>
      <c r="E54" s="25" t="inlineStr">
        <is>
          <t>Q1</t>
        </is>
      </c>
      <c r="F54" s="25" t="n">
        <v>2</v>
      </c>
      <c r="G54" s="25" t="inlineStr">
        <is>
          <t>February</t>
        </is>
      </c>
      <c r="I54" s="25" t="n">
        <v>2</v>
      </c>
      <c r="K54" s="25" t="n">
        <v>2</v>
      </c>
      <c r="L54" s="25" t="inlineStr">
        <is>
          <t>Monday</t>
        </is>
      </c>
      <c r="M54" s="25" t="inlineStr">
        <is>
          <t>No</t>
        </is>
      </c>
      <c r="N54" s="25" t="inlineStr">
        <is>
          <t>No</t>
        </is>
      </c>
      <c r="O54" s="36">
        <f>COUNTIF(Shipments_Unified!$B$5:$B$38,C54)</f>
        <v/>
      </c>
      <c r="P54" s="36">
        <f>IF(O54&gt;0,"yes","— quiet day")</f>
        <v/>
      </c>
    </row>
    <row r="55">
      <c r="B55" s="25">
        <f>YEAR(C55)*10000+MONTH(C55)*100+DAY(C55)</f>
        <v/>
      </c>
      <c r="C55" s="66" t="n">
        <v>46056</v>
      </c>
      <c r="D55" s="25" t="n">
        <v>2026</v>
      </c>
      <c r="E55" s="25" t="inlineStr">
        <is>
          <t>Q1</t>
        </is>
      </c>
      <c r="F55" s="25" t="n">
        <v>2</v>
      </c>
      <c r="G55" s="25" t="inlineStr">
        <is>
          <t>February</t>
        </is>
      </c>
      <c r="I55" s="25" t="n">
        <v>3</v>
      </c>
      <c r="K55" s="25" t="n">
        <v>3</v>
      </c>
      <c r="L55" s="25" t="inlineStr">
        <is>
          <t>Tuesday</t>
        </is>
      </c>
      <c r="M55" s="25" t="inlineStr">
        <is>
          <t>No</t>
        </is>
      </c>
      <c r="N55" s="25" t="inlineStr">
        <is>
          <t>No</t>
        </is>
      </c>
      <c r="O55" s="36">
        <f>COUNTIF(Shipments_Unified!$B$5:$B$38,C55)</f>
        <v/>
      </c>
      <c r="P55" s="36">
        <f>IF(O55&gt;0,"yes","— quiet day")</f>
        <v/>
      </c>
    </row>
    <row r="56">
      <c r="B56" s="25">
        <f>YEAR(C56)*10000+MONTH(C56)*100+DAY(C56)</f>
        <v/>
      </c>
      <c r="C56" s="66" t="n">
        <v>46057</v>
      </c>
      <c r="D56" s="25" t="n">
        <v>2026</v>
      </c>
      <c r="E56" s="25" t="inlineStr">
        <is>
          <t>Q1</t>
        </is>
      </c>
      <c r="F56" s="25" t="n">
        <v>2</v>
      </c>
      <c r="G56" s="25" t="inlineStr">
        <is>
          <t>February</t>
        </is>
      </c>
      <c r="I56" s="25" t="n">
        <v>4</v>
      </c>
      <c r="K56" s="25" t="n">
        <v>4</v>
      </c>
      <c r="L56" s="25" t="inlineStr">
        <is>
          <t>Wednesday</t>
        </is>
      </c>
      <c r="M56" s="25" t="inlineStr">
        <is>
          <t>No</t>
        </is>
      </c>
      <c r="N56" s="25" t="inlineStr">
        <is>
          <t>No</t>
        </is>
      </c>
      <c r="O56" s="36">
        <f>COUNTIF(Shipments_Unified!$B$5:$B$38,C56)</f>
        <v/>
      </c>
      <c r="P56" s="36">
        <f>IF(O56&gt;0,"yes","— quiet day")</f>
        <v/>
      </c>
    </row>
    <row r="57">
      <c r="B57" s="25">
        <f>YEAR(C57)*10000+MONTH(C57)*100+DAY(C57)</f>
        <v/>
      </c>
      <c r="C57" s="66" t="n">
        <v>46058</v>
      </c>
      <c r="D57" s="25" t="n">
        <v>2026</v>
      </c>
      <c r="E57" s="25" t="inlineStr">
        <is>
          <t>Q1</t>
        </is>
      </c>
      <c r="F57" s="25" t="n">
        <v>2</v>
      </c>
      <c r="G57" s="25" t="inlineStr">
        <is>
          <t>February</t>
        </is>
      </c>
      <c r="I57" s="25" t="n">
        <v>5</v>
      </c>
      <c r="K57" s="25" t="n">
        <v>5</v>
      </c>
      <c r="L57" s="25" t="inlineStr">
        <is>
          <t>Thursday</t>
        </is>
      </c>
      <c r="M57" s="25" t="inlineStr">
        <is>
          <t>No</t>
        </is>
      </c>
      <c r="N57" s="25" t="inlineStr">
        <is>
          <t>Yes</t>
        </is>
      </c>
      <c r="O57" s="36">
        <f>COUNTIF(Shipments_Unified!$B$5:$B$38,C57)</f>
        <v/>
      </c>
      <c r="P57" s="36">
        <f>IF(O57&gt;0,"yes","— quiet day")</f>
        <v/>
      </c>
    </row>
    <row r="58">
      <c r="B58" s="25">
        <f>YEAR(C58)*10000+MONTH(C58)*100+DAY(C58)</f>
        <v/>
      </c>
      <c r="C58" s="66" t="n">
        <v>46059</v>
      </c>
      <c r="D58" s="25" t="n">
        <v>2026</v>
      </c>
      <c r="E58" s="25" t="inlineStr">
        <is>
          <t>Q1</t>
        </is>
      </c>
      <c r="F58" s="25" t="n">
        <v>2</v>
      </c>
      <c r="G58" s="25" t="inlineStr">
        <is>
          <t>February</t>
        </is>
      </c>
      <c r="I58" s="25" t="n">
        <v>6</v>
      </c>
      <c r="K58" s="25" t="n">
        <v>6</v>
      </c>
      <c r="L58" s="25" t="inlineStr">
        <is>
          <t>Friday</t>
        </is>
      </c>
      <c r="M58" s="25" t="inlineStr">
        <is>
          <t>No</t>
        </is>
      </c>
      <c r="N58" s="25" t="inlineStr">
        <is>
          <t>No</t>
        </is>
      </c>
      <c r="O58" s="36">
        <f>COUNTIF(Shipments_Unified!$B$5:$B$38,C58)</f>
        <v/>
      </c>
      <c r="P58" s="36">
        <f>IF(O58&gt;0,"yes","— quiet day")</f>
        <v/>
      </c>
    </row>
    <row r="59">
      <c r="B59" s="25">
        <f>YEAR(C59)*10000+MONTH(C59)*100+DAY(C59)</f>
        <v/>
      </c>
      <c r="C59" s="66" t="n">
        <v>46060</v>
      </c>
      <c r="D59" s="25" t="n">
        <v>2026</v>
      </c>
      <c r="E59" s="25" t="inlineStr">
        <is>
          <t>Q1</t>
        </is>
      </c>
      <c r="F59" s="25" t="n">
        <v>2</v>
      </c>
      <c r="G59" s="25" t="inlineStr">
        <is>
          <t>February</t>
        </is>
      </c>
      <c r="I59" s="25" t="n">
        <v>7</v>
      </c>
      <c r="K59" s="25" t="n">
        <v>7</v>
      </c>
      <c r="L59" s="25" t="inlineStr">
        <is>
          <t>Saturday</t>
        </is>
      </c>
      <c r="M59" s="25" t="inlineStr">
        <is>
          <t>Yes</t>
        </is>
      </c>
      <c r="N59" s="25" t="inlineStr">
        <is>
          <t>No</t>
        </is>
      </c>
      <c r="O59" s="36">
        <f>COUNTIF(Shipments_Unified!$B$5:$B$38,C59)</f>
        <v/>
      </c>
      <c r="P59" s="36">
        <f>IF(O59&gt;0,"yes","— quiet day")</f>
        <v/>
      </c>
    </row>
    <row r="60">
      <c r="B60" s="25">
        <f>YEAR(C60)*10000+MONTH(C60)*100+DAY(C60)</f>
        <v/>
      </c>
      <c r="C60" s="66" t="n">
        <v>46061</v>
      </c>
      <c r="D60" s="25" t="n">
        <v>2026</v>
      </c>
      <c r="E60" s="25" t="inlineStr">
        <is>
          <t>Q1</t>
        </is>
      </c>
      <c r="F60" s="25" t="n">
        <v>2</v>
      </c>
      <c r="G60" s="25" t="inlineStr">
        <is>
          <t>February</t>
        </is>
      </c>
      <c r="I60" s="25" t="n">
        <v>8</v>
      </c>
      <c r="K60" s="25" t="n">
        <v>1</v>
      </c>
      <c r="L60" s="25" t="inlineStr">
        <is>
          <t>Sunday</t>
        </is>
      </c>
      <c r="M60" s="25" t="inlineStr">
        <is>
          <t>Yes</t>
        </is>
      </c>
      <c r="N60" s="25" t="inlineStr">
        <is>
          <t>No</t>
        </is>
      </c>
      <c r="O60" s="36">
        <f>COUNTIF(Shipments_Unified!$B$5:$B$38,C60)</f>
        <v/>
      </c>
      <c r="P60" s="36">
        <f>IF(O60&gt;0,"yes","— quiet day")</f>
        <v/>
      </c>
    </row>
    <row r="61">
      <c r="B61" s="25">
        <f>YEAR(C61)*10000+MONTH(C61)*100+DAY(C61)</f>
        <v/>
      </c>
      <c r="C61" s="66" t="n">
        <v>46062</v>
      </c>
      <c r="D61" s="25" t="n">
        <v>2026</v>
      </c>
      <c r="E61" s="25" t="inlineStr">
        <is>
          <t>Q1</t>
        </is>
      </c>
      <c r="F61" s="25" t="n">
        <v>2</v>
      </c>
      <c r="G61" s="25" t="inlineStr">
        <is>
          <t>February</t>
        </is>
      </c>
      <c r="I61" s="25" t="n">
        <v>9</v>
      </c>
      <c r="K61" s="25" t="n">
        <v>2</v>
      </c>
      <c r="L61" s="25" t="inlineStr">
        <is>
          <t>Monday</t>
        </is>
      </c>
      <c r="M61" s="25" t="inlineStr">
        <is>
          <t>No</t>
        </is>
      </c>
      <c r="N61" s="25" t="inlineStr">
        <is>
          <t>No</t>
        </is>
      </c>
      <c r="O61" s="36">
        <f>COUNTIF(Shipments_Unified!$B$5:$B$38,C61)</f>
        <v/>
      </c>
      <c r="P61" s="36">
        <f>IF(O61&gt;0,"yes","— quiet day")</f>
        <v/>
      </c>
    </row>
    <row r="62">
      <c r="B62" s="25">
        <f>YEAR(C62)*10000+MONTH(C62)*100+DAY(C62)</f>
        <v/>
      </c>
      <c r="C62" s="66" t="n">
        <v>46063</v>
      </c>
      <c r="D62" s="25" t="n">
        <v>2026</v>
      </c>
      <c r="E62" s="25" t="inlineStr">
        <is>
          <t>Q1</t>
        </is>
      </c>
      <c r="F62" s="25" t="n">
        <v>2</v>
      </c>
      <c r="G62" s="25" t="inlineStr">
        <is>
          <t>February</t>
        </is>
      </c>
      <c r="I62" s="25" t="n">
        <v>10</v>
      </c>
      <c r="K62" s="25" t="n">
        <v>3</v>
      </c>
      <c r="L62" s="25" t="inlineStr">
        <is>
          <t>Tuesday</t>
        </is>
      </c>
      <c r="M62" s="25" t="inlineStr">
        <is>
          <t>No</t>
        </is>
      </c>
      <c r="N62" s="25" t="inlineStr">
        <is>
          <t>No</t>
        </is>
      </c>
      <c r="O62" s="36">
        <f>COUNTIF(Shipments_Unified!$B$5:$B$38,C62)</f>
        <v/>
      </c>
      <c r="P62" s="36">
        <f>IF(O62&gt;0,"yes","— quiet day")</f>
        <v/>
      </c>
    </row>
    <row r="63">
      <c r="B63" s="25">
        <f>YEAR(C63)*10000+MONTH(C63)*100+DAY(C63)</f>
        <v/>
      </c>
      <c r="C63" s="66" t="n">
        <v>46064</v>
      </c>
      <c r="D63" s="25" t="n">
        <v>2026</v>
      </c>
      <c r="E63" s="25" t="inlineStr">
        <is>
          <t>Q1</t>
        </is>
      </c>
      <c r="F63" s="25" t="n">
        <v>2</v>
      </c>
      <c r="G63" s="25" t="inlineStr">
        <is>
          <t>February</t>
        </is>
      </c>
      <c r="I63" s="25" t="n">
        <v>11</v>
      </c>
      <c r="K63" s="25" t="n">
        <v>4</v>
      </c>
      <c r="L63" s="25" t="inlineStr">
        <is>
          <t>Wednesday</t>
        </is>
      </c>
      <c r="M63" s="25" t="inlineStr">
        <is>
          <t>No</t>
        </is>
      </c>
      <c r="N63" s="25" t="inlineStr">
        <is>
          <t>No</t>
        </is>
      </c>
      <c r="O63" s="36">
        <f>COUNTIF(Shipments_Unified!$B$5:$B$38,C63)</f>
        <v/>
      </c>
      <c r="P63" s="36">
        <f>IF(O63&gt;0,"yes","— quiet day")</f>
        <v/>
      </c>
    </row>
    <row r="64">
      <c r="B64" s="25">
        <f>YEAR(C64)*10000+MONTH(C64)*100+DAY(C64)</f>
        <v/>
      </c>
      <c r="C64" s="66" t="n">
        <v>46065</v>
      </c>
      <c r="D64" s="25" t="n">
        <v>2026</v>
      </c>
      <c r="E64" s="25" t="inlineStr">
        <is>
          <t>Q1</t>
        </is>
      </c>
      <c r="F64" s="25" t="n">
        <v>2</v>
      </c>
      <c r="G64" s="25" t="inlineStr">
        <is>
          <t>February</t>
        </is>
      </c>
      <c r="I64" s="25" t="n">
        <v>12</v>
      </c>
      <c r="K64" s="25" t="n">
        <v>5</v>
      </c>
      <c r="L64" s="25" t="inlineStr">
        <is>
          <t>Thursday</t>
        </is>
      </c>
      <c r="M64" s="25" t="inlineStr">
        <is>
          <t>No</t>
        </is>
      </c>
      <c r="N64" s="25" t="inlineStr">
        <is>
          <t>No</t>
        </is>
      </c>
      <c r="O64" s="36">
        <f>COUNTIF(Shipments_Unified!$B$5:$B$38,C64)</f>
        <v/>
      </c>
      <c r="P64" s="36">
        <f>IF(O64&gt;0,"yes","— quiet day")</f>
        <v/>
      </c>
    </row>
    <row r="65">
      <c r="B65" s="25">
        <f>YEAR(C65)*10000+MONTH(C65)*100+DAY(C65)</f>
        <v/>
      </c>
      <c r="C65" s="66" t="n">
        <v>46066</v>
      </c>
      <c r="D65" s="25" t="n">
        <v>2026</v>
      </c>
      <c r="E65" s="25" t="inlineStr">
        <is>
          <t>Q1</t>
        </is>
      </c>
      <c r="F65" s="25" t="n">
        <v>2</v>
      </c>
      <c r="G65" s="25" t="inlineStr">
        <is>
          <t>February</t>
        </is>
      </c>
      <c r="I65" s="25" t="n">
        <v>13</v>
      </c>
      <c r="K65" s="25" t="n">
        <v>6</v>
      </c>
      <c r="L65" s="25" t="inlineStr">
        <is>
          <t>Friday</t>
        </is>
      </c>
      <c r="M65" s="25" t="inlineStr">
        <is>
          <t>No</t>
        </is>
      </c>
      <c r="N65" s="25" t="inlineStr">
        <is>
          <t>No</t>
        </is>
      </c>
      <c r="O65" s="36">
        <f>COUNTIF(Shipments_Unified!$B$5:$B$38,C65)</f>
        <v/>
      </c>
      <c r="P65" s="36">
        <f>IF(O65&gt;0,"yes","— quiet day")</f>
        <v/>
      </c>
    </row>
    <row r="66">
      <c r="B66" s="25">
        <f>YEAR(C66)*10000+MONTH(C66)*100+DAY(C66)</f>
        <v/>
      </c>
      <c r="C66" s="66" t="n">
        <v>46067</v>
      </c>
      <c r="D66" s="25" t="n">
        <v>2026</v>
      </c>
      <c r="E66" s="25" t="inlineStr">
        <is>
          <t>Q1</t>
        </is>
      </c>
      <c r="F66" s="25" t="n">
        <v>2</v>
      </c>
      <c r="G66" s="25" t="inlineStr">
        <is>
          <t>February</t>
        </is>
      </c>
      <c r="I66" s="25" t="n">
        <v>14</v>
      </c>
      <c r="K66" s="25" t="n">
        <v>7</v>
      </c>
      <c r="L66" s="25" t="inlineStr">
        <is>
          <t>Saturday</t>
        </is>
      </c>
      <c r="M66" s="25" t="inlineStr">
        <is>
          <t>Yes</t>
        </is>
      </c>
      <c r="N66" s="25" t="inlineStr">
        <is>
          <t>No</t>
        </is>
      </c>
      <c r="O66" s="36">
        <f>COUNTIF(Shipments_Unified!$B$5:$B$38,C66)</f>
        <v/>
      </c>
      <c r="P66" s="36">
        <f>IF(O66&gt;0,"yes","— quiet day")</f>
        <v/>
      </c>
    </row>
    <row r="67">
      <c r="B67" s="25">
        <f>YEAR(C67)*10000+MONTH(C67)*100+DAY(C67)</f>
        <v/>
      </c>
      <c r="C67" s="66" t="n">
        <v>46068</v>
      </c>
      <c r="D67" s="25" t="n">
        <v>2026</v>
      </c>
      <c r="E67" s="25" t="inlineStr">
        <is>
          <t>Q1</t>
        </is>
      </c>
      <c r="F67" s="25" t="n">
        <v>2</v>
      </c>
      <c r="G67" s="25" t="inlineStr">
        <is>
          <t>February</t>
        </is>
      </c>
      <c r="I67" s="25" t="n">
        <v>15</v>
      </c>
      <c r="K67" s="25" t="n">
        <v>1</v>
      </c>
      <c r="L67" s="25" t="inlineStr">
        <is>
          <t>Sunday</t>
        </is>
      </c>
      <c r="M67" s="25" t="inlineStr">
        <is>
          <t>Yes</t>
        </is>
      </c>
      <c r="N67" s="25" t="inlineStr">
        <is>
          <t>No</t>
        </is>
      </c>
      <c r="O67" s="36">
        <f>COUNTIF(Shipments_Unified!$B$5:$B$38,C67)</f>
        <v/>
      </c>
      <c r="P67" s="36">
        <f>IF(O67&gt;0,"yes","— quiet day")</f>
        <v/>
      </c>
    </row>
    <row r="68">
      <c r="B68" s="25">
        <f>YEAR(C68)*10000+MONTH(C68)*100+DAY(C68)</f>
        <v/>
      </c>
      <c r="C68" s="66" t="n">
        <v>46069</v>
      </c>
      <c r="D68" s="25" t="n">
        <v>2026</v>
      </c>
      <c r="E68" s="25" t="inlineStr">
        <is>
          <t>Q1</t>
        </is>
      </c>
      <c r="F68" s="25" t="n">
        <v>2</v>
      </c>
      <c r="G68" s="25" t="inlineStr">
        <is>
          <t>February</t>
        </is>
      </c>
      <c r="I68" s="25" t="n">
        <v>16</v>
      </c>
      <c r="K68" s="25" t="n">
        <v>2</v>
      </c>
      <c r="L68" s="25" t="inlineStr">
        <is>
          <t>Monday</t>
        </is>
      </c>
      <c r="M68" s="25" t="inlineStr">
        <is>
          <t>No</t>
        </is>
      </c>
      <c r="N68" s="25" t="inlineStr">
        <is>
          <t>No</t>
        </is>
      </c>
      <c r="O68" s="36">
        <f>COUNTIF(Shipments_Unified!$B$5:$B$38,C68)</f>
        <v/>
      </c>
      <c r="P68" s="36">
        <f>IF(O68&gt;0,"yes","— quiet day")</f>
        <v/>
      </c>
    </row>
    <row r="69">
      <c r="B69" s="25">
        <f>YEAR(C69)*10000+MONTH(C69)*100+DAY(C69)</f>
        <v/>
      </c>
      <c r="C69" s="66" t="n">
        <v>46070</v>
      </c>
      <c r="D69" s="25" t="n">
        <v>2026</v>
      </c>
      <c r="E69" s="25" t="inlineStr">
        <is>
          <t>Q1</t>
        </is>
      </c>
      <c r="F69" s="25" t="n">
        <v>2</v>
      </c>
      <c r="G69" s="25" t="inlineStr">
        <is>
          <t>February</t>
        </is>
      </c>
      <c r="I69" s="25" t="n">
        <v>17</v>
      </c>
      <c r="K69" s="25" t="n">
        <v>3</v>
      </c>
      <c r="L69" s="25" t="inlineStr">
        <is>
          <t>Tuesday</t>
        </is>
      </c>
      <c r="M69" s="25" t="inlineStr">
        <is>
          <t>No</t>
        </is>
      </c>
      <c r="N69" s="25" t="inlineStr">
        <is>
          <t>No</t>
        </is>
      </c>
      <c r="O69" s="36">
        <f>COUNTIF(Shipments_Unified!$B$5:$B$38,C69)</f>
        <v/>
      </c>
      <c r="P69" s="36">
        <f>IF(O69&gt;0,"yes","— quiet day")</f>
        <v/>
      </c>
    </row>
    <row r="70">
      <c r="B70" s="25">
        <f>YEAR(C70)*10000+MONTH(C70)*100+DAY(C70)</f>
        <v/>
      </c>
      <c r="C70" s="66" t="n">
        <v>46071</v>
      </c>
      <c r="D70" s="25" t="n">
        <v>2026</v>
      </c>
      <c r="E70" s="25" t="inlineStr">
        <is>
          <t>Q1</t>
        </is>
      </c>
      <c r="F70" s="25" t="n">
        <v>2</v>
      </c>
      <c r="G70" s="25" t="inlineStr">
        <is>
          <t>February</t>
        </is>
      </c>
      <c r="I70" s="25" t="n">
        <v>18</v>
      </c>
      <c r="K70" s="25" t="n">
        <v>4</v>
      </c>
      <c r="L70" s="25" t="inlineStr">
        <is>
          <t>Wednesday</t>
        </is>
      </c>
      <c r="M70" s="25" t="inlineStr">
        <is>
          <t>No</t>
        </is>
      </c>
      <c r="N70" s="25" t="inlineStr">
        <is>
          <t>No</t>
        </is>
      </c>
      <c r="O70" s="36">
        <f>COUNTIF(Shipments_Unified!$B$5:$B$38,C70)</f>
        <v/>
      </c>
      <c r="P70" s="36">
        <f>IF(O70&gt;0,"yes","— quiet day")</f>
        <v/>
      </c>
    </row>
    <row r="71">
      <c r="B71" s="25">
        <f>YEAR(C71)*10000+MONTH(C71)*100+DAY(C71)</f>
        <v/>
      </c>
      <c r="C71" s="66" t="n">
        <v>46072</v>
      </c>
      <c r="D71" s="25" t="n">
        <v>2026</v>
      </c>
      <c r="E71" s="25" t="inlineStr">
        <is>
          <t>Q1</t>
        </is>
      </c>
      <c r="F71" s="25" t="n">
        <v>2</v>
      </c>
      <c r="G71" s="25" t="inlineStr">
        <is>
          <t>February</t>
        </is>
      </c>
      <c r="I71" s="25" t="n">
        <v>19</v>
      </c>
      <c r="K71" s="25" t="n">
        <v>5</v>
      </c>
      <c r="L71" s="25" t="inlineStr">
        <is>
          <t>Thursday</t>
        </is>
      </c>
      <c r="M71" s="25" t="inlineStr">
        <is>
          <t>No</t>
        </is>
      </c>
      <c r="N71" s="25" t="inlineStr">
        <is>
          <t>No</t>
        </is>
      </c>
      <c r="O71" s="36">
        <f>COUNTIF(Shipments_Unified!$B$5:$B$38,C71)</f>
        <v/>
      </c>
      <c r="P71" s="36">
        <f>IF(O71&gt;0,"yes","— quiet day")</f>
        <v/>
      </c>
    </row>
    <row r="72">
      <c r="B72" s="25">
        <f>YEAR(C72)*10000+MONTH(C72)*100+DAY(C72)</f>
        <v/>
      </c>
      <c r="C72" s="66" t="n">
        <v>46073</v>
      </c>
      <c r="D72" s="25" t="n">
        <v>2026</v>
      </c>
      <c r="E72" s="25" t="inlineStr">
        <is>
          <t>Q1</t>
        </is>
      </c>
      <c r="F72" s="25" t="n">
        <v>2</v>
      </c>
      <c r="G72" s="25" t="inlineStr">
        <is>
          <t>February</t>
        </is>
      </c>
      <c r="I72" s="25" t="n">
        <v>20</v>
      </c>
      <c r="K72" s="25" t="n">
        <v>6</v>
      </c>
      <c r="L72" s="25" t="inlineStr">
        <is>
          <t>Friday</t>
        </is>
      </c>
      <c r="M72" s="25" t="inlineStr">
        <is>
          <t>No</t>
        </is>
      </c>
      <c r="N72" s="25" t="inlineStr">
        <is>
          <t>No</t>
        </is>
      </c>
      <c r="O72" s="36">
        <f>COUNTIF(Shipments_Unified!$B$5:$B$38,C72)</f>
        <v/>
      </c>
      <c r="P72" s="36">
        <f>IF(O72&gt;0,"yes","— quiet day")</f>
        <v/>
      </c>
    </row>
    <row r="73">
      <c r="B73" s="25">
        <f>YEAR(C73)*10000+MONTH(C73)*100+DAY(C73)</f>
        <v/>
      </c>
      <c r="C73" s="66" t="n">
        <v>46074</v>
      </c>
      <c r="D73" s="25" t="n">
        <v>2026</v>
      </c>
      <c r="E73" s="25" t="inlineStr">
        <is>
          <t>Q1</t>
        </is>
      </c>
      <c r="F73" s="25" t="n">
        <v>2</v>
      </c>
      <c r="G73" s="25" t="inlineStr">
        <is>
          <t>February</t>
        </is>
      </c>
      <c r="I73" s="25" t="n">
        <v>21</v>
      </c>
      <c r="K73" s="25" t="n">
        <v>7</v>
      </c>
      <c r="L73" s="25" t="inlineStr">
        <is>
          <t>Saturday</t>
        </is>
      </c>
      <c r="M73" s="25" t="inlineStr">
        <is>
          <t>Yes</t>
        </is>
      </c>
      <c r="N73" s="25" t="inlineStr">
        <is>
          <t>No</t>
        </is>
      </c>
      <c r="O73" s="36">
        <f>COUNTIF(Shipments_Unified!$B$5:$B$38,C73)</f>
        <v/>
      </c>
      <c r="P73" s="36">
        <f>IF(O73&gt;0,"yes","— quiet day")</f>
        <v/>
      </c>
    </row>
    <row r="74">
      <c r="B74" s="25">
        <f>YEAR(C74)*10000+MONTH(C74)*100+DAY(C74)</f>
        <v/>
      </c>
      <c r="C74" s="66" t="n">
        <v>46075</v>
      </c>
      <c r="D74" s="25" t="n">
        <v>2026</v>
      </c>
      <c r="E74" s="25" t="inlineStr">
        <is>
          <t>Q1</t>
        </is>
      </c>
      <c r="F74" s="25" t="n">
        <v>2</v>
      </c>
      <c r="G74" s="25" t="inlineStr">
        <is>
          <t>February</t>
        </is>
      </c>
      <c r="I74" s="25" t="n">
        <v>22</v>
      </c>
      <c r="K74" s="25" t="n">
        <v>1</v>
      </c>
      <c r="L74" s="25" t="inlineStr">
        <is>
          <t>Sunday</t>
        </is>
      </c>
      <c r="M74" s="25" t="inlineStr">
        <is>
          <t>Yes</t>
        </is>
      </c>
      <c r="N74" s="25" t="inlineStr">
        <is>
          <t>No</t>
        </is>
      </c>
      <c r="O74" s="36">
        <f>COUNTIF(Shipments_Unified!$B$5:$B$38,C74)</f>
        <v/>
      </c>
      <c r="P74" s="36">
        <f>IF(O74&gt;0,"yes","— quiet day")</f>
        <v/>
      </c>
    </row>
    <row r="75">
      <c r="B75" s="25">
        <f>YEAR(C75)*10000+MONTH(C75)*100+DAY(C75)</f>
        <v/>
      </c>
      <c r="C75" s="66" t="n">
        <v>46076</v>
      </c>
      <c r="D75" s="25" t="n">
        <v>2026</v>
      </c>
      <c r="E75" s="25" t="inlineStr">
        <is>
          <t>Q1</t>
        </is>
      </c>
      <c r="F75" s="25" t="n">
        <v>2</v>
      </c>
      <c r="G75" s="25" t="inlineStr">
        <is>
          <t>February</t>
        </is>
      </c>
      <c r="I75" s="25" t="n">
        <v>23</v>
      </c>
      <c r="K75" s="25" t="n">
        <v>2</v>
      </c>
      <c r="L75" s="25" t="inlineStr">
        <is>
          <t>Monday</t>
        </is>
      </c>
      <c r="M75" s="25" t="inlineStr">
        <is>
          <t>No</t>
        </is>
      </c>
      <c r="N75" s="25" t="inlineStr">
        <is>
          <t>No</t>
        </is>
      </c>
      <c r="O75" s="36">
        <f>COUNTIF(Shipments_Unified!$B$5:$B$38,C75)</f>
        <v/>
      </c>
      <c r="P75" s="36">
        <f>IF(O75&gt;0,"yes","— quiet day")</f>
        <v/>
      </c>
    </row>
    <row r="76">
      <c r="B76" s="25">
        <f>YEAR(C76)*10000+MONTH(C76)*100+DAY(C76)</f>
        <v/>
      </c>
      <c r="C76" s="66" t="n">
        <v>46077</v>
      </c>
      <c r="D76" s="25" t="n">
        <v>2026</v>
      </c>
      <c r="E76" s="25" t="inlineStr">
        <is>
          <t>Q1</t>
        </is>
      </c>
      <c r="F76" s="25" t="n">
        <v>2</v>
      </c>
      <c r="G76" s="25" t="inlineStr">
        <is>
          <t>February</t>
        </is>
      </c>
      <c r="I76" s="25" t="n">
        <v>24</v>
      </c>
      <c r="K76" s="25" t="n">
        <v>3</v>
      </c>
      <c r="L76" s="25" t="inlineStr">
        <is>
          <t>Tuesday</t>
        </is>
      </c>
      <c r="M76" s="25" t="inlineStr">
        <is>
          <t>No</t>
        </is>
      </c>
      <c r="N76" s="25" t="inlineStr">
        <is>
          <t>No</t>
        </is>
      </c>
      <c r="O76" s="36">
        <f>COUNTIF(Shipments_Unified!$B$5:$B$38,C76)</f>
        <v/>
      </c>
      <c r="P76" s="36">
        <f>IF(O76&gt;0,"yes","— quiet day")</f>
        <v/>
      </c>
    </row>
    <row r="77">
      <c r="B77" s="25">
        <f>YEAR(C77)*10000+MONTH(C77)*100+DAY(C77)</f>
        <v/>
      </c>
      <c r="C77" s="66" t="n">
        <v>46078</v>
      </c>
      <c r="D77" s="25" t="n">
        <v>2026</v>
      </c>
      <c r="E77" s="25" t="inlineStr">
        <is>
          <t>Q1</t>
        </is>
      </c>
      <c r="F77" s="25" t="n">
        <v>2</v>
      </c>
      <c r="G77" s="25" t="inlineStr">
        <is>
          <t>February</t>
        </is>
      </c>
      <c r="I77" s="25" t="n">
        <v>25</v>
      </c>
      <c r="K77" s="25" t="n">
        <v>4</v>
      </c>
      <c r="L77" s="25" t="inlineStr">
        <is>
          <t>Wednesday</t>
        </is>
      </c>
      <c r="M77" s="25" t="inlineStr">
        <is>
          <t>No</t>
        </is>
      </c>
      <c r="N77" s="25" t="inlineStr">
        <is>
          <t>No</t>
        </is>
      </c>
      <c r="O77" s="36">
        <f>COUNTIF(Shipments_Unified!$B$5:$B$38,C77)</f>
        <v/>
      </c>
      <c r="P77" s="36">
        <f>IF(O77&gt;0,"yes","— quiet day")</f>
        <v/>
      </c>
    </row>
    <row r="78">
      <c r="B78" s="25">
        <f>YEAR(C78)*10000+MONTH(C78)*100+DAY(C78)</f>
        <v/>
      </c>
      <c r="C78" s="66" t="n">
        <v>46079</v>
      </c>
      <c r="D78" s="25" t="n">
        <v>2026</v>
      </c>
      <c r="E78" s="25" t="inlineStr">
        <is>
          <t>Q1</t>
        </is>
      </c>
      <c r="F78" s="25" t="n">
        <v>2</v>
      </c>
      <c r="G78" s="25" t="inlineStr">
        <is>
          <t>February</t>
        </is>
      </c>
      <c r="I78" s="25" t="n">
        <v>26</v>
      </c>
      <c r="K78" s="25" t="n">
        <v>5</v>
      </c>
      <c r="L78" s="25" t="inlineStr">
        <is>
          <t>Thursday</t>
        </is>
      </c>
      <c r="M78" s="25" t="inlineStr">
        <is>
          <t>No</t>
        </is>
      </c>
      <c r="N78" s="25" t="inlineStr">
        <is>
          <t>No</t>
        </is>
      </c>
      <c r="O78" s="36">
        <f>COUNTIF(Shipments_Unified!$B$5:$B$38,C78)</f>
        <v/>
      </c>
      <c r="P78" s="36">
        <f>IF(O78&gt;0,"yes","— quiet day")</f>
        <v/>
      </c>
    </row>
    <row r="79">
      <c r="B79" s="25">
        <f>YEAR(C79)*10000+MONTH(C79)*100+DAY(C79)</f>
        <v/>
      </c>
      <c r="C79" s="66" t="n">
        <v>46080</v>
      </c>
      <c r="D79" s="25" t="n">
        <v>2026</v>
      </c>
      <c r="E79" s="25" t="inlineStr">
        <is>
          <t>Q1</t>
        </is>
      </c>
      <c r="F79" s="25" t="n">
        <v>2</v>
      </c>
      <c r="G79" s="25" t="inlineStr">
        <is>
          <t>February</t>
        </is>
      </c>
      <c r="I79" s="25" t="n">
        <v>27</v>
      </c>
      <c r="K79" s="25" t="n">
        <v>6</v>
      </c>
      <c r="L79" s="25" t="inlineStr">
        <is>
          <t>Friday</t>
        </is>
      </c>
      <c r="M79" s="25" t="inlineStr">
        <is>
          <t>No</t>
        </is>
      </c>
      <c r="N79" s="25" t="inlineStr">
        <is>
          <t>No</t>
        </is>
      </c>
      <c r="O79" s="36">
        <f>COUNTIF(Shipments_Unified!$B$5:$B$38,C79)</f>
        <v/>
      </c>
      <c r="P79" s="36">
        <f>IF(O79&gt;0,"yes","— quiet day")</f>
        <v/>
      </c>
    </row>
    <row r="80">
      <c r="B80" s="25">
        <f>YEAR(C80)*10000+MONTH(C80)*100+DAY(C80)</f>
        <v/>
      </c>
      <c r="C80" s="66" t="n">
        <v>46081</v>
      </c>
      <c r="D80" s="25" t="n">
        <v>2026</v>
      </c>
      <c r="E80" s="25" t="inlineStr">
        <is>
          <t>Q1</t>
        </is>
      </c>
      <c r="F80" s="25" t="n">
        <v>2</v>
      </c>
      <c r="G80" s="25" t="inlineStr">
        <is>
          <t>February</t>
        </is>
      </c>
      <c r="I80" s="25" t="n">
        <v>28</v>
      </c>
      <c r="K80" s="25" t="n">
        <v>7</v>
      </c>
      <c r="L80" s="25" t="inlineStr">
        <is>
          <t>Saturday</t>
        </is>
      </c>
      <c r="M80" s="25" t="inlineStr">
        <is>
          <t>Yes</t>
        </is>
      </c>
      <c r="N80" s="25" t="inlineStr">
        <is>
          <t>No</t>
        </is>
      </c>
      <c r="O80" s="36">
        <f>COUNTIF(Shipments_Unified!$B$5:$B$38,C80)</f>
        <v/>
      </c>
      <c r="P80" s="36">
        <f>IF(O80&gt;0,"yes","— quiet day")</f>
        <v/>
      </c>
    </row>
    <row r="81">
      <c r="C81" s="11" t="inlineStr">
        <is>
          <t>Rows in DimDate</t>
        </is>
      </c>
      <c r="D81" s="12">
        <f>COUNTA(C53:C80)</f>
        <v/>
      </c>
      <c r="F81" s="43" t="inlineStr">
        <is>
          <t>Days with at least one shipment</t>
        </is>
      </c>
      <c r="I81" s="12">
        <f>COUNTIF(O53:O80,"&gt;0")</f>
        <v/>
      </c>
      <c r="K81" s="43" t="inlineStr">
        <is>
          <t>Quiet days</t>
        </is>
      </c>
      <c r="L81" s="41" t="n"/>
      <c r="M81" s="12">
        <f>COUNTIF(O53:O80,0)</f>
        <v/>
      </c>
    </row>
    <row r="82" ht="26" customHeight="1">
      <c r="A82" s="24" t="inlineStr">
        <is>
          <t>Expected: 28 rows, 12 days with shipments, 16 quiet days. THE question this answers: 'what was our average daily tonnage in February?' is 578,650 / 12 = 48,221 kg if you count only the days that appear in the fact table, and 578,650 / 28 = 20,666 kg against the real calendar. Both are arithmetically correct. Only one of them answers the question the CFO asked.</t>
        </is>
      </c>
    </row>
    <row r="84" ht="22" customHeight="1">
      <c r="A84" s="3" t="inlineStr">
        <is>
          <t>ANSWER IN ONE LINE EACH</t>
        </is>
      </c>
    </row>
    <row r="85" ht="32" customHeight="1">
      <c r="B85" s="26" t="inlineStr">
        <is>
          <t>DimRoute holds two city keys. Does that make DimCity a snowflake? One sentence.</t>
        </is>
      </c>
      <c r="C85" s="59" t="n"/>
      <c r="D85" s="59" t="n"/>
      <c r="E85" s="59" t="n"/>
      <c r="F85" s="59" t="n"/>
      <c r="G85" s="58" t="n"/>
      <c r="I85" s="19" t="inlineStr">
        <is>
          <t>No. DimRoute stores the origin and destination keys as route attributes; without relationships from DimRoute to DimCity, the fact joins directly to DimCity in its origin/destination roles, so the model remains a star.</t>
        </is>
      </c>
      <c r="J85" s="59" t="n"/>
      <c r="K85" s="59" t="n"/>
      <c r="L85" s="59" t="n"/>
      <c r="M85" s="59" t="n"/>
      <c r="N85" s="59" t="n"/>
      <c r="O85" s="59" t="n"/>
      <c r="P85" s="58" t="n"/>
    </row>
    <row r="86" ht="32" customHeight="1">
      <c r="B86" s="60" t="n"/>
      <c r="C86" s="62" t="n"/>
      <c r="D86" s="62" t="n"/>
      <c r="E86" s="62" t="n"/>
      <c r="F86" s="62" t="n"/>
      <c r="G86" s="61" t="n"/>
      <c r="I86" s="60" t="n"/>
      <c r="J86" s="62" t="n"/>
      <c r="K86" s="62" t="n"/>
      <c r="L86" s="62" t="n"/>
      <c r="M86" s="62" t="n"/>
      <c r="N86" s="62" t="n"/>
      <c r="O86" s="62" t="n"/>
      <c r="P86" s="61" t="n"/>
    </row>
    <row r="87" ht="28" customHeight="1">
      <c r="B87" s="26" t="inlineStr">
        <is>
          <t>Karachi → Lahore is served by both marine and rail. Should Mode be a column in DimRoute, or stay its own dimension? Why?</t>
        </is>
      </c>
      <c r="C87" s="59" t="n"/>
      <c r="D87" s="59" t="n"/>
      <c r="E87" s="59" t="n"/>
      <c r="F87" s="59" t="n"/>
      <c r="G87" s="58" t="n"/>
      <c r="I87" s="19" t="inlineStr">
        <is>
          <t>Keep Mode separate: the same city pair can use several modes, so putting mode in DimRoute duplicates the route per mode and mixes two independent pieces of context.</t>
        </is>
      </c>
      <c r="J87" s="59" t="n"/>
      <c r="K87" s="59" t="n"/>
      <c r="L87" s="59" t="n"/>
      <c r="M87" s="59" t="n"/>
      <c r="N87" s="59" t="n"/>
      <c r="O87" s="59" t="n"/>
      <c r="P87" s="58" t="n"/>
    </row>
    <row r="88" ht="28" customHeight="1">
      <c r="B88" s="60" t="n"/>
      <c r="C88" s="62" t="n"/>
      <c r="D88" s="62" t="n"/>
      <c r="E88" s="62" t="n"/>
      <c r="F88" s="62" t="n"/>
      <c r="G88" s="61" t="n"/>
      <c r="I88" s="60" t="n"/>
      <c r="J88" s="62" t="n"/>
      <c r="K88" s="62" t="n"/>
      <c r="L88" s="62" t="n"/>
      <c r="M88" s="62" t="n"/>
      <c r="N88" s="62" t="n"/>
      <c r="O88" s="62" t="n"/>
      <c r="P88" s="61" t="n"/>
    </row>
    <row r="89" ht="34" customHeight="1">
      <c r="B89" s="26" t="inlineStr">
        <is>
          <t>PakFreight adds a Karachi → Lahore service routed via Sukkur. Same two cities, different path. New DimRoute row or not?</t>
        </is>
      </c>
      <c r="C89" s="59" t="n"/>
      <c r="D89" s="59" t="n"/>
      <c r="E89" s="59" t="n"/>
      <c r="F89" s="59" t="n"/>
      <c r="G89" s="58" t="n"/>
      <c r="I89" s="19" t="inlineStr">
        <is>
          <t>Under the current route grain (origin city + destination city), no: via-Sukkur is the same route key and the path is not represented. If path-specific analysis is required, extend the route grain with a path/service variant, then add a distinct row.</t>
        </is>
      </c>
      <c r="J89" s="59" t="n"/>
      <c r="K89" s="59" t="n"/>
      <c r="L89" s="59" t="n"/>
      <c r="M89" s="59" t="n"/>
      <c r="N89" s="59" t="n"/>
      <c r="O89" s="59" t="n"/>
      <c r="P89" s="58" t="n"/>
    </row>
    <row r="90" ht="34" customHeight="1">
      <c r="B90" s="60" t="n"/>
      <c r="C90" s="62" t="n"/>
      <c r="D90" s="62" t="n"/>
      <c r="E90" s="62" t="n"/>
      <c r="F90" s="62" t="n"/>
      <c r="G90" s="61" t="n"/>
      <c r="I90" s="60" t="n"/>
      <c r="J90" s="62" t="n"/>
      <c r="K90" s="62" t="n"/>
      <c r="L90" s="62" t="n"/>
      <c r="M90" s="62" t="n"/>
      <c r="N90" s="62" t="n"/>
      <c r="O90" s="62" t="n"/>
      <c r="P90" s="61" t="n"/>
    </row>
    <row r="91" ht="28" customHeight="1">
      <c r="B91" s="26" t="inlineStr">
        <is>
          <t>Why does DimDate get 28 rows when the fact table only ever touches 12 of them?</t>
        </is>
      </c>
      <c r="C91" s="59" t="n"/>
      <c r="D91" s="59" t="n"/>
      <c r="E91" s="59" t="n"/>
      <c r="F91" s="59" t="n"/>
      <c r="G91" s="58" t="n"/>
      <c r="I91" s="19" t="inlineStr">
        <is>
          <t>A complete calendar includes quiet dates, enabling continuous daily charts, correct calendar-day averages and time comparisons; the fact table only has rows on 12 dates.</t>
        </is>
      </c>
      <c r="J91" s="59" t="n"/>
      <c r="K91" s="59" t="n"/>
      <c r="L91" s="59" t="n"/>
      <c r="M91" s="59" t="n"/>
      <c r="N91" s="59" t="n"/>
      <c r="O91" s="59" t="n"/>
      <c r="P91" s="58" t="n"/>
    </row>
    <row r="92" ht="28" customHeight="1">
      <c r="B92" s="60" t="n"/>
      <c r="C92" s="62" t="n"/>
      <c r="D92" s="62" t="n"/>
      <c r="E92" s="62" t="n"/>
      <c r="F92" s="62" t="n"/>
      <c r="G92" s="61" t="n"/>
      <c r="I92" s="60" t="n"/>
      <c r="J92" s="62" t="n"/>
      <c r="K92" s="62" t="n"/>
      <c r="L92" s="62" t="n"/>
      <c r="M92" s="62" t="n"/>
      <c r="N92" s="62" t="n"/>
      <c r="O92" s="62" t="n"/>
      <c r="P92" s="61" t="n"/>
    </row>
    <row r="94" ht="26" customHeight="1">
      <c r="A94" s="24" t="inlineStr">
        <is>
          <t>Marking, 20 marks: the conform-then-dedupe answer 3 · DimRoute 6 · DimMode and DimStatus with -1 rows 3 · DimDate 4 · the four questions 4.</t>
        </is>
      </c>
    </row>
  </sheetData>
  <mergeCells count="22">
    <mergeCell ref="B89:G90"/>
    <mergeCell ref="A4:P4"/>
    <mergeCell ref="A43:P43"/>
    <mergeCell ref="B91:G92"/>
    <mergeCell ref="B85:G86"/>
    <mergeCell ref="C7:G8"/>
    <mergeCell ref="K81:L81"/>
    <mergeCell ref="I41:P41"/>
    <mergeCell ref="B49:P49"/>
    <mergeCell ref="A82:P82"/>
    <mergeCell ref="A51:P51"/>
    <mergeCell ref="A5:P6"/>
    <mergeCell ref="A1:P1"/>
    <mergeCell ref="B41:D41"/>
    <mergeCell ref="A94:P94"/>
    <mergeCell ref="I89:P90"/>
    <mergeCell ref="A84:P84"/>
    <mergeCell ref="I91:P92"/>
    <mergeCell ref="I85:P86"/>
    <mergeCell ref="B87:G88"/>
    <mergeCell ref="I87:P88"/>
    <mergeCell ref="A2:P2"/>
  </mergeCells>
  <pageMargins left="0.75" right="0.75" top="1" bottom="1" header="0.5" footer="0.5"/>
</worksheet>
</file>

<file path=xl/worksheets/sheet8.xml><?xml version="1.0" encoding="utf-8"?>
<worksheet xmlns="http://schemas.openxmlformats.org/spreadsheetml/2006/main">
  <sheetPr>
    <tabColor rgb="00005A8C"/>
    <outlinePr summaryBelow="1" summaryRight="1"/>
    <pageSetUpPr/>
  </sheetPr>
  <dimension ref="A1:V52"/>
  <sheetViews>
    <sheetView showGridLines="0" workbookViewId="0">
      <pane ySplit="5" topLeftCell="A6" activePane="bottomLeft" state="frozen"/>
      <selection pane="bottomLeft" activeCell="A1" sqref="A1"/>
    </sheetView>
  </sheetViews>
  <sheetFormatPr baseColWidth="8" defaultRowHeight="15"/>
  <cols>
    <col width="11" customWidth="1" min="1" max="1"/>
    <col width="13" customWidth="1" min="2" max="2"/>
    <col width="24" customWidth="1" min="3" max="3"/>
    <col width="22" customWidth="1" min="4" max="4"/>
    <col width="10" customWidth="1" min="5" max="5"/>
    <col width="11" customWidth="1" min="6" max="6"/>
    <col width="11" customWidth="1" min="7" max="7"/>
    <col width="12" customWidth="1" min="8" max="8"/>
    <col width="3" customWidth="1" min="9" max="9"/>
    <col width="11" customWidth="1" min="10" max="10"/>
    <col width="12" customWidth="1" min="11" max="11"/>
    <col width="12" customWidth="1" min="12" max="12"/>
    <col width="10" customWidth="1" min="13" max="13"/>
    <col width="10" customWidth="1" min="14" max="14"/>
    <col width="10" customWidth="1" min="15" max="15"/>
    <col width="11" customWidth="1" min="16" max="16"/>
    <col width="11" customWidth="1" min="17" max="17"/>
    <col width="13" customWidth="1" min="18" max="18"/>
    <col width="8" customWidth="1" min="19" max="19"/>
    <col width="3" customWidth="1" min="20" max="20"/>
    <col width="20" customWidth="1" min="21" max="21"/>
    <col width="11" customWidth="1" min="22" max="22"/>
  </cols>
  <sheetData>
    <row r="1" ht="30" customHeight="1">
      <c r="A1" s="1" t="inlineStr">
        <is>
          <t>T6  ·  Build FactShipment  —  Swap Every Text Column for an Integer Key</t>
        </is>
      </c>
    </row>
    <row r="2" ht="30" customHeight="1">
      <c r="A2" s="2" t="inlineStr">
        <is>
          <t>Left of the gap: Shipments_Unified exactly as Week 2 left it. Right of the gap: the fact table. Row 6 is worked for you — copy it down to row 39. The rule you must not break: no descriptive text crosses the gap.</t>
        </is>
      </c>
    </row>
    <row r="3" ht="26" customHeight="1">
      <c r="A3" s="24" t="inlineStr">
        <is>
          <t>Row 6 is worked for you — copy J6:S6 down to row 39. Until T4 and T5 are filled in, every key in row 6 reads -1. That is not an error: it is the Unknown row doing its job, because IFERROR sends an unmatched lookup to key -1 instead of losing the fact row. Watch them turn into real keys as you complete the dimensions.</t>
        </is>
      </c>
    </row>
    <row r="4">
      <c r="A4" s="44" t="inlineStr">
        <is>
          <t>SOURCE  ·  grey, do not edit</t>
        </is>
      </c>
      <c r="B4" s="40" t="n"/>
      <c r="C4" s="40" t="n"/>
      <c r="D4" s="40" t="n"/>
      <c r="E4" s="40" t="n"/>
      <c r="F4" s="40" t="n"/>
      <c r="G4" s="40" t="n"/>
      <c r="H4" s="41" t="n"/>
      <c r="J4" s="45" t="inlineStr">
        <is>
          <t>FACTSHIPMENT  ·  six keys + one degenerate + three measures</t>
        </is>
      </c>
      <c r="K4" s="40" t="n"/>
      <c r="L4" s="40" t="n"/>
      <c r="M4" s="40" t="n"/>
      <c r="N4" s="40" t="n"/>
      <c r="O4" s="40" t="n"/>
      <c r="P4" s="40" t="n"/>
      <c r="Q4" s="40" t="n"/>
      <c r="R4" s="40" t="n"/>
      <c r="S4" s="41" t="n"/>
      <c r="U4" s="46" t="inlineStr">
        <is>
          <t>EXCEL-ONLY SCRATCH</t>
        </is>
      </c>
      <c r="V4" s="41" t="n"/>
    </row>
    <row r="5" ht="30" customHeight="1">
      <c r="A5" s="6" t="inlineStr">
        <is>
          <t>ShipmentID</t>
        </is>
      </c>
      <c r="B5" s="6" t="inlineStr">
        <is>
          <t>ShipDate</t>
        </is>
      </c>
      <c r="C5" s="6" t="inlineStr">
        <is>
          <t>Origin</t>
        </is>
      </c>
      <c r="D5" s="6" t="inlineStr">
        <is>
          <t>Destination</t>
        </is>
      </c>
      <c r="E5" s="6" t="inlineStr">
        <is>
          <t>Source</t>
        </is>
      </c>
      <c r="F5" s="6" t="inlineStr">
        <is>
          <t>Status</t>
        </is>
      </c>
      <c r="G5" s="6" t="inlineStr">
        <is>
          <t>WeightKG</t>
        </is>
      </c>
      <c r="H5" s="6" t="inlineStr">
        <is>
          <t>CostPKR</t>
        </is>
      </c>
      <c r="J5" s="6" t="inlineStr">
        <is>
          <t>DateKey</t>
        </is>
      </c>
      <c r="K5" s="6" t="inlineStr">
        <is>
          <t>OriginCityKey</t>
        </is>
      </c>
      <c r="L5" s="6" t="inlineStr">
        <is>
          <t>DestCityKey</t>
        </is>
      </c>
      <c r="M5" s="6" t="inlineStr">
        <is>
          <t>RouteKey</t>
        </is>
      </c>
      <c r="N5" s="6" t="inlineStr">
        <is>
          <t>ModeKey</t>
        </is>
      </c>
      <c r="O5" s="6" t="inlineStr">
        <is>
          <t>StatusKey</t>
        </is>
      </c>
      <c r="P5" s="6" t="inlineStr">
        <is>
          <t>ShipmentID</t>
        </is>
      </c>
      <c r="Q5" s="6" t="inlineStr">
        <is>
          <t>WeightKG</t>
        </is>
      </c>
      <c r="R5" s="6" t="inlineStr">
        <is>
          <t>FreightCostPKR</t>
        </is>
      </c>
      <c r="S5" s="6" t="inlineStr">
        <is>
          <t>Count</t>
        </is>
      </c>
      <c r="U5" s="6" t="inlineStr">
        <is>
          <t>OriginProvince</t>
        </is>
      </c>
      <c r="V5" s="6" t="inlineStr">
        <is>
          <t>ModeName</t>
        </is>
      </c>
    </row>
    <row r="6">
      <c r="A6" s="20" t="inlineStr">
        <is>
          <t>MR-1001</t>
        </is>
      </c>
      <c r="B6" s="57" t="n">
        <v>46054</v>
      </c>
      <c r="C6" s="14" t="inlineStr">
        <is>
          <t>Karachi Port</t>
        </is>
      </c>
      <c r="D6" s="14" t="inlineStr">
        <is>
          <t>Lahore Dry Port</t>
        </is>
      </c>
      <c r="E6" s="36" t="inlineStr">
        <is>
          <t>Marine</t>
        </is>
      </c>
      <c r="F6" s="14" t="inlineStr">
        <is>
          <t>Delivered</t>
        </is>
      </c>
      <c r="G6" s="22" t="n">
        <v>18000</v>
      </c>
      <c r="H6" s="22" t="n">
        <v>142000</v>
      </c>
      <c r="J6" s="25">
        <f>YEAR(B6)*10000+MONTH(B6)*100+DAY(B6)</f>
        <v/>
      </c>
      <c r="K6" s="25">
        <f>IFERROR(INDEX('T4 DimCity'!$I$6:$I$20,MATCH(INDEX('T4 DimCity'!$C$6:$C$28,MATCH(C6,'T4 DimCity'!$B$6:$B$28,0)),'T4 DimCity'!$J$6:$J$20,0)),-1)</f>
        <v/>
      </c>
      <c r="L6" s="25">
        <f>IFERROR(INDEX('T4 DimCity'!$I$6:$I$20,MATCH(INDEX('T4 DimCity'!$C$6:$C$28,MATCH(D6,'T4 DimCity'!$B$6:$B$28,0)),'T4 DimCity'!$J$6:$J$20,0)),-1)</f>
        <v/>
      </c>
      <c r="M6" s="25">
        <f>IFERROR(INDEX('T5 Other Dimensions'!$B$10:$B$30,MATCH(INDEX('T4 DimCity'!$C$6:$C$28,MATCH(C6,'T4 DimCity'!$B$6:$B$28,0))&amp;" -&gt; "&amp;INDEX('T4 DimCity'!$C$6:$C$28,MATCH(D6,'T4 DimCity'!$B$6:$B$28,0)),'T5 Other Dimensions'!$E$10:$E$30,0)),-1)</f>
        <v/>
      </c>
      <c r="N6" s="25">
        <f>IFERROR(INDEX('T5 Other Dimensions'!$B$45:$B$48,MATCH(E6,'T5 Other Dimensions'!$C$45:$C$48,0)),-1)</f>
        <v/>
      </c>
      <c r="O6" s="25">
        <f>IFERROR(INDEX('T5 Other Dimensions'!$K$45:$K$48,MATCH(F6,'T5 Other Dimensions'!$L$45:$L$48,0)),-1)</f>
        <v/>
      </c>
      <c r="P6" s="25">
        <f>A6</f>
        <v/>
      </c>
      <c r="Q6" s="47">
        <f>G6</f>
        <v/>
      </c>
      <c r="R6" s="47">
        <f>H6</f>
        <v/>
      </c>
      <c r="S6" s="25" t="inlineStr">
        <is>
          <t>1</t>
        </is>
      </c>
      <c r="U6" s="48">
        <f>IFERROR(INDEX('T4 DimCity'!$K$6:$K$20,MATCH(K6,'T4 DimCity'!$I$6:$I$20,0)),"?")</f>
        <v/>
      </c>
      <c r="V6" s="48">
        <f>IFERROR(INDEX('T5 Other Dimensions'!$C$45:$C$48,MATCH(N6,'T5 Other Dimensions'!$B$45:$B$48,0)),"?")</f>
        <v/>
      </c>
    </row>
    <row r="7">
      <c r="A7" s="20" t="inlineStr">
        <is>
          <t>MR-1002</t>
        </is>
      </c>
      <c r="B7" s="57" t="n">
        <v>46055</v>
      </c>
      <c r="C7" s="14" t="inlineStr">
        <is>
          <t>Port Qasim</t>
        </is>
      </c>
      <c r="D7" s="14" t="inlineStr">
        <is>
          <t>Faisalabad Dry Port</t>
        </is>
      </c>
      <c r="E7" s="36" t="inlineStr">
        <is>
          <t>Marine</t>
        </is>
      </c>
      <c r="F7" s="14" t="inlineStr">
        <is>
          <t>Delivered</t>
        </is>
      </c>
      <c r="G7" s="22" t="n">
        <v>22500</v>
      </c>
      <c r="H7" s="22" t="n">
        <v>171000</v>
      </c>
      <c r="J7" s="25">
        <f>YEAR(B7)*10000+MONTH(B7)*100+DAY(B7)</f>
        <v/>
      </c>
      <c r="K7" s="25">
        <f>IFERROR(INDEX('T4 DimCity'!$I$6:$I$20,MATCH(INDEX('T4 DimCity'!$C$6:$C$28,MATCH(C7,'T4 DimCity'!$B$6:$B$28,0)),'T4 DimCity'!$J$6:$J$20,0)),-1)</f>
        <v/>
      </c>
      <c r="L7" s="25">
        <f>IFERROR(INDEX('T4 DimCity'!$I$6:$I$20,MATCH(INDEX('T4 DimCity'!$C$6:$C$28,MATCH(D7,'T4 DimCity'!$B$6:$B$28,0)),'T4 DimCity'!$J$6:$J$20,0)),-1)</f>
        <v/>
      </c>
      <c r="M7" s="25">
        <f>IFERROR(INDEX('T5 Other Dimensions'!$B$10:$B$30,MATCH(INDEX('T4 DimCity'!$C$6:$C$28,MATCH(C7,'T4 DimCity'!$B$6:$B$28,0))&amp;" -&gt; "&amp;INDEX('T4 DimCity'!$C$6:$C$28,MATCH(D7,'T4 DimCity'!$B$6:$B$28,0)),'T5 Other Dimensions'!$E$10:$E$30,0)),-1)</f>
        <v/>
      </c>
      <c r="N7" s="25">
        <f>IFERROR(INDEX('T5 Other Dimensions'!$B$45:$B$48,MATCH(E7,'T5 Other Dimensions'!$C$45:$C$48,0)),-1)</f>
        <v/>
      </c>
      <c r="O7" s="25">
        <f>IFERROR(INDEX('T5 Other Dimensions'!$K$45:$K$48,MATCH(F7,'T5 Other Dimensions'!$L$45:$L$48,0)),-1)</f>
        <v/>
      </c>
      <c r="P7" s="25">
        <f>A7</f>
        <v/>
      </c>
      <c r="Q7" s="25">
        <f>G7</f>
        <v/>
      </c>
      <c r="R7" s="25">
        <f>H7</f>
        <v/>
      </c>
      <c r="S7" s="25" t="inlineStr">
        <is>
          <t>1</t>
        </is>
      </c>
      <c r="U7" s="48">
        <f>IFERROR(INDEX('T4 DimCity'!$K$6:$K$20,MATCH(K7,'T4 DimCity'!$I$6:$I$20,0)),"?")</f>
        <v/>
      </c>
      <c r="V7" s="48">
        <f>IFERROR(INDEX('T5 Other Dimensions'!$C$45:$C$48,MATCH(N7,'T5 Other Dimensions'!$B$45:$B$48,0)),"?")</f>
        <v/>
      </c>
    </row>
    <row r="8">
      <c r="A8" s="20" t="inlineStr">
        <is>
          <t>MR-1003</t>
        </is>
      </c>
      <c r="B8" s="57" t="n">
        <v>46056</v>
      </c>
      <c r="C8" s="14" t="inlineStr">
        <is>
          <t>Karachi Port</t>
        </is>
      </c>
      <c r="D8" s="14" t="inlineStr">
        <is>
          <t>Lahore Dry Port</t>
        </is>
      </c>
      <c r="E8" s="36" t="inlineStr">
        <is>
          <t>Marine</t>
        </is>
      </c>
      <c r="F8" s="14" t="inlineStr">
        <is>
          <t>In Transit</t>
        </is>
      </c>
      <c r="G8" s="22" t="n">
        <v>15000</v>
      </c>
      <c r="H8" s="22" t="n">
        <v>119000</v>
      </c>
      <c r="J8" s="25">
        <f>YEAR(B8)*10000+MONTH(B8)*100+DAY(B8)</f>
        <v/>
      </c>
      <c r="K8" s="25">
        <f>IFERROR(INDEX('T4 DimCity'!$I$6:$I$20,MATCH(INDEX('T4 DimCity'!$C$6:$C$28,MATCH(C8,'T4 DimCity'!$B$6:$B$28,0)),'T4 DimCity'!$J$6:$J$20,0)),-1)</f>
        <v/>
      </c>
      <c r="L8" s="25">
        <f>IFERROR(INDEX('T4 DimCity'!$I$6:$I$20,MATCH(INDEX('T4 DimCity'!$C$6:$C$28,MATCH(D8,'T4 DimCity'!$B$6:$B$28,0)),'T4 DimCity'!$J$6:$J$20,0)),-1)</f>
        <v/>
      </c>
      <c r="M8" s="25">
        <f>IFERROR(INDEX('T5 Other Dimensions'!$B$10:$B$30,MATCH(INDEX('T4 DimCity'!$C$6:$C$28,MATCH(C8,'T4 DimCity'!$B$6:$B$28,0))&amp;" -&gt; "&amp;INDEX('T4 DimCity'!$C$6:$C$28,MATCH(D8,'T4 DimCity'!$B$6:$B$28,0)),'T5 Other Dimensions'!$E$10:$E$30,0)),-1)</f>
        <v/>
      </c>
      <c r="N8" s="25">
        <f>IFERROR(INDEX('T5 Other Dimensions'!$B$45:$B$48,MATCH(E8,'T5 Other Dimensions'!$C$45:$C$48,0)),-1)</f>
        <v/>
      </c>
      <c r="O8" s="25">
        <f>IFERROR(INDEX('T5 Other Dimensions'!$K$45:$K$48,MATCH(F8,'T5 Other Dimensions'!$L$45:$L$48,0)),-1)</f>
        <v/>
      </c>
      <c r="P8" s="25">
        <f>A8</f>
        <v/>
      </c>
      <c r="Q8" s="25">
        <f>G8</f>
        <v/>
      </c>
      <c r="R8" s="25">
        <f>H8</f>
        <v/>
      </c>
      <c r="S8" s="25" t="inlineStr">
        <is>
          <t>1</t>
        </is>
      </c>
      <c r="U8" s="48">
        <f>IFERROR(INDEX('T4 DimCity'!$K$6:$K$20,MATCH(K8,'T4 DimCity'!$I$6:$I$20,0)),"?")</f>
        <v/>
      </c>
      <c r="V8" s="48">
        <f>IFERROR(INDEX('T5 Other Dimensions'!$C$45:$C$48,MATCH(N8,'T5 Other Dimensions'!$B$45:$B$48,0)),"?")</f>
        <v/>
      </c>
    </row>
    <row r="9">
      <c r="A9" s="20" t="inlineStr">
        <is>
          <t>MR-1004</t>
        </is>
      </c>
      <c r="B9" s="57" t="n">
        <v>46057</v>
      </c>
      <c r="C9" s="14" t="inlineStr">
        <is>
          <t>Gwadar Port</t>
        </is>
      </c>
      <c r="D9" s="14" t="inlineStr">
        <is>
          <t>Quetta</t>
        </is>
      </c>
      <c r="E9" s="36" t="inlineStr">
        <is>
          <t>Marine</t>
        </is>
      </c>
      <c r="F9" s="14" t="inlineStr">
        <is>
          <t>Delivered</t>
        </is>
      </c>
      <c r="G9" s="22" t="n">
        <v>20000</v>
      </c>
      <c r="H9" s="22" t="n">
        <v>188000</v>
      </c>
      <c r="J9" s="25">
        <f>YEAR(B9)*10000+MONTH(B9)*100+DAY(B9)</f>
        <v/>
      </c>
      <c r="K9" s="25">
        <f>IFERROR(INDEX('T4 DimCity'!$I$6:$I$20,MATCH(INDEX('T4 DimCity'!$C$6:$C$28,MATCH(C9,'T4 DimCity'!$B$6:$B$28,0)),'T4 DimCity'!$J$6:$J$20,0)),-1)</f>
        <v/>
      </c>
      <c r="L9" s="25">
        <f>IFERROR(INDEX('T4 DimCity'!$I$6:$I$20,MATCH(INDEX('T4 DimCity'!$C$6:$C$28,MATCH(D9,'T4 DimCity'!$B$6:$B$28,0)),'T4 DimCity'!$J$6:$J$20,0)),-1)</f>
        <v/>
      </c>
      <c r="M9" s="25">
        <f>IFERROR(INDEX('T5 Other Dimensions'!$B$10:$B$30,MATCH(INDEX('T4 DimCity'!$C$6:$C$28,MATCH(C9,'T4 DimCity'!$B$6:$B$28,0))&amp;" -&gt; "&amp;INDEX('T4 DimCity'!$C$6:$C$28,MATCH(D9,'T4 DimCity'!$B$6:$B$28,0)),'T5 Other Dimensions'!$E$10:$E$30,0)),-1)</f>
        <v/>
      </c>
      <c r="N9" s="25">
        <f>IFERROR(INDEX('T5 Other Dimensions'!$B$45:$B$48,MATCH(E9,'T5 Other Dimensions'!$C$45:$C$48,0)),-1)</f>
        <v/>
      </c>
      <c r="O9" s="25">
        <f>IFERROR(INDEX('T5 Other Dimensions'!$K$45:$K$48,MATCH(F9,'T5 Other Dimensions'!$L$45:$L$48,0)),-1)</f>
        <v/>
      </c>
      <c r="P9" s="25">
        <f>A9</f>
        <v/>
      </c>
      <c r="Q9" s="25">
        <f>G9</f>
        <v/>
      </c>
      <c r="R9" s="25">
        <f>H9</f>
        <v/>
      </c>
      <c r="S9" s="25" t="inlineStr">
        <is>
          <t>1</t>
        </is>
      </c>
      <c r="U9" s="48">
        <f>IFERROR(INDEX('T4 DimCity'!$K$6:$K$20,MATCH(K9,'T4 DimCity'!$I$6:$I$20,0)),"?")</f>
        <v/>
      </c>
      <c r="V9" s="48">
        <f>IFERROR(INDEX('T5 Other Dimensions'!$C$45:$C$48,MATCH(N9,'T5 Other Dimensions'!$B$45:$B$48,0)),"?")</f>
        <v/>
      </c>
    </row>
    <row r="10">
      <c r="A10" s="20" t="inlineStr">
        <is>
          <t>MR-1005</t>
        </is>
      </c>
      <c r="B10" s="57" t="n">
        <v>46058</v>
      </c>
      <c r="C10" s="14" t="inlineStr">
        <is>
          <t>Port Qasim</t>
        </is>
      </c>
      <c r="D10" s="14" t="inlineStr">
        <is>
          <t>Multan</t>
        </is>
      </c>
      <c r="E10" s="36" t="inlineStr">
        <is>
          <t>Marine</t>
        </is>
      </c>
      <c r="F10" s="14" t="inlineStr">
        <is>
          <t>Delivered</t>
        </is>
      </c>
      <c r="G10" s="22" t="n">
        <v>16500</v>
      </c>
      <c r="H10" s="22" t="n">
        <v>128000</v>
      </c>
      <c r="J10" s="25">
        <f>YEAR(B10)*10000+MONTH(B10)*100+DAY(B10)</f>
        <v/>
      </c>
      <c r="K10" s="25">
        <f>IFERROR(INDEX('T4 DimCity'!$I$6:$I$20,MATCH(INDEX('T4 DimCity'!$C$6:$C$28,MATCH(C10,'T4 DimCity'!$B$6:$B$28,0)),'T4 DimCity'!$J$6:$J$20,0)),-1)</f>
        <v/>
      </c>
      <c r="L10" s="25">
        <f>IFERROR(INDEX('T4 DimCity'!$I$6:$I$20,MATCH(INDEX('T4 DimCity'!$C$6:$C$28,MATCH(D10,'T4 DimCity'!$B$6:$B$28,0)),'T4 DimCity'!$J$6:$J$20,0)),-1)</f>
        <v/>
      </c>
      <c r="M10" s="25">
        <f>IFERROR(INDEX('T5 Other Dimensions'!$B$10:$B$30,MATCH(INDEX('T4 DimCity'!$C$6:$C$28,MATCH(C10,'T4 DimCity'!$B$6:$B$28,0))&amp;" -&gt; "&amp;INDEX('T4 DimCity'!$C$6:$C$28,MATCH(D10,'T4 DimCity'!$B$6:$B$28,0)),'T5 Other Dimensions'!$E$10:$E$30,0)),-1)</f>
        <v/>
      </c>
      <c r="N10" s="25">
        <f>IFERROR(INDEX('T5 Other Dimensions'!$B$45:$B$48,MATCH(E10,'T5 Other Dimensions'!$C$45:$C$48,0)),-1)</f>
        <v/>
      </c>
      <c r="O10" s="25">
        <f>IFERROR(INDEX('T5 Other Dimensions'!$K$45:$K$48,MATCH(F10,'T5 Other Dimensions'!$L$45:$L$48,0)),-1)</f>
        <v/>
      </c>
      <c r="P10" s="25">
        <f>A10</f>
        <v/>
      </c>
      <c r="Q10" s="25">
        <f>G10</f>
        <v/>
      </c>
      <c r="R10" s="25">
        <f>H10</f>
        <v/>
      </c>
      <c r="S10" s="25" t="inlineStr">
        <is>
          <t>1</t>
        </is>
      </c>
      <c r="U10" s="48">
        <f>IFERROR(INDEX('T4 DimCity'!$K$6:$K$20,MATCH(K10,'T4 DimCity'!$I$6:$I$20,0)),"?")</f>
        <v/>
      </c>
      <c r="V10" s="48">
        <f>IFERROR(INDEX('T5 Other Dimensions'!$C$45:$C$48,MATCH(N10,'T5 Other Dimensions'!$B$45:$B$48,0)),"?")</f>
        <v/>
      </c>
    </row>
    <row r="11">
      <c r="A11" s="20" t="inlineStr">
        <is>
          <t>MR-1006</t>
        </is>
      </c>
      <c r="B11" s="57" t="n">
        <v>46059</v>
      </c>
      <c r="C11" s="14" t="inlineStr">
        <is>
          <t>Karachi Port</t>
        </is>
      </c>
      <c r="D11" s="14" t="inlineStr">
        <is>
          <t>Sialkot Dry Port</t>
        </is>
      </c>
      <c r="E11" s="36" t="inlineStr">
        <is>
          <t>Marine</t>
        </is>
      </c>
      <c r="F11" s="14" t="inlineStr">
        <is>
          <t>Delayed</t>
        </is>
      </c>
      <c r="G11" s="22" t="n">
        <v>19000</v>
      </c>
      <c r="H11" s="22" t="n">
        <v>154000</v>
      </c>
      <c r="J11" s="25">
        <f>YEAR(B11)*10000+MONTH(B11)*100+DAY(B11)</f>
        <v/>
      </c>
      <c r="K11" s="25">
        <f>IFERROR(INDEX('T4 DimCity'!$I$6:$I$20,MATCH(INDEX('T4 DimCity'!$C$6:$C$28,MATCH(C11,'T4 DimCity'!$B$6:$B$28,0)),'T4 DimCity'!$J$6:$J$20,0)),-1)</f>
        <v/>
      </c>
      <c r="L11" s="25">
        <f>IFERROR(INDEX('T4 DimCity'!$I$6:$I$20,MATCH(INDEX('T4 DimCity'!$C$6:$C$28,MATCH(D11,'T4 DimCity'!$B$6:$B$28,0)),'T4 DimCity'!$J$6:$J$20,0)),-1)</f>
        <v/>
      </c>
      <c r="M11" s="25">
        <f>IFERROR(INDEX('T5 Other Dimensions'!$B$10:$B$30,MATCH(INDEX('T4 DimCity'!$C$6:$C$28,MATCH(C11,'T4 DimCity'!$B$6:$B$28,0))&amp;" -&gt; "&amp;INDEX('T4 DimCity'!$C$6:$C$28,MATCH(D11,'T4 DimCity'!$B$6:$B$28,0)),'T5 Other Dimensions'!$E$10:$E$30,0)),-1)</f>
        <v/>
      </c>
      <c r="N11" s="25">
        <f>IFERROR(INDEX('T5 Other Dimensions'!$B$45:$B$48,MATCH(E11,'T5 Other Dimensions'!$C$45:$C$48,0)),-1)</f>
        <v/>
      </c>
      <c r="O11" s="25">
        <f>IFERROR(INDEX('T5 Other Dimensions'!$K$45:$K$48,MATCH(F11,'T5 Other Dimensions'!$L$45:$L$48,0)),-1)</f>
        <v/>
      </c>
      <c r="P11" s="25">
        <f>A11</f>
        <v/>
      </c>
      <c r="Q11" s="25">
        <f>G11</f>
        <v/>
      </c>
      <c r="R11" s="25">
        <f>H11</f>
        <v/>
      </c>
      <c r="S11" s="25" t="inlineStr">
        <is>
          <t>1</t>
        </is>
      </c>
      <c r="U11" s="48">
        <f>IFERROR(INDEX('T4 DimCity'!$K$6:$K$20,MATCH(K11,'T4 DimCity'!$I$6:$I$20,0)),"?")</f>
        <v/>
      </c>
      <c r="V11" s="48">
        <f>IFERROR(INDEX('T5 Other Dimensions'!$C$45:$C$48,MATCH(N11,'T5 Other Dimensions'!$B$45:$B$48,0)),"?")</f>
        <v/>
      </c>
    </row>
    <row r="12">
      <c r="A12" s="20" t="inlineStr">
        <is>
          <t>MR-1007</t>
        </is>
      </c>
      <c r="B12" s="57" t="n">
        <v>46060</v>
      </c>
      <c r="C12" s="14" t="inlineStr">
        <is>
          <t>Port Qasim</t>
        </is>
      </c>
      <c r="D12" s="14" t="inlineStr">
        <is>
          <t>Lahore Dry Port</t>
        </is>
      </c>
      <c r="E12" s="36" t="inlineStr">
        <is>
          <t>Marine</t>
        </is>
      </c>
      <c r="F12" s="14" t="inlineStr">
        <is>
          <t>Delivered</t>
        </is>
      </c>
      <c r="G12" s="22" t="n">
        <v>14000</v>
      </c>
      <c r="H12" s="22" t="n">
        <v>109000</v>
      </c>
      <c r="J12" s="25">
        <f>YEAR(B12)*10000+MONTH(B12)*100+DAY(B12)</f>
        <v/>
      </c>
      <c r="K12" s="25">
        <f>IFERROR(INDEX('T4 DimCity'!$I$6:$I$20,MATCH(INDEX('T4 DimCity'!$C$6:$C$28,MATCH(C12,'T4 DimCity'!$B$6:$B$28,0)),'T4 DimCity'!$J$6:$J$20,0)),-1)</f>
        <v/>
      </c>
      <c r="L12" s="25">
        <f>IFERROR(INDEX('T4 DimCity'!$I$6:$I$20,MATCH(INDEX('T4 DimCity'!$C$6:$C$28,MATCH(D12,'T4 DimCity'!$B$6:$B$28,0)),'T4 DimCity'!$J$6:$J$20,0)),-1)</f>
        <v/>
      </c>
      <c r="M12" s="25">
        <f>IFERROR(INDEX('T5 Other Dimensions'!$B$10:$B$30,MATCH(INDEX('T4 DimCity'!$C$6:$C$28,MATCH(C12,'T4 DimCity'!$B$6:$B$28,0))&amp;" -&gt; "&amp;INDEX('T4 DimCity'!$C$6:$C$28,MATCH(D12,'T4 DimCity'!$B$6:$B$28,0)),'T5 Other Dimensions'!$E$10:$E$30,0)),-1)</f>
        <v/>
      </c>
      <c r="N12" s="25">
        <f>IFERROR(INDEX('T5 Other Dimensions'!$B$45:$B$48,MATCH(E12,'T5 Other Dimensions'!$C$45:$C$48,0)),-1)</f>
        <v/>
      </c>
      <c r="O12" s="25">
        <f>IFERROR(INDEX('T5 Other Dimensions'!$K$45:$K$48,MATCH(F12,'T5 Other Dimensions'!$L$45:$L$48,0)),-1)</f>
        <v/>
      </c>
      <c r="P12" s="25">
        <f>A12</f>
        <v/>
      </c>
      <c r="Q12" s="25">
        <f>G12</f>
        <v/>
      </c>
      <c r="R12" s="25">
        <f>H12</f>
        <v/>
      </c>
      <c r="S12" s="25" t="inlineStr">
        <is>
          <t>1</t>
        </is>
      </c>
      <c r="U12" s="48">
        <f>IFERROR(INDEX('T4 DimCity'!$K$6:$K$20,MATCH(K12,'T4 DimCity'!$I$6:$I$20,0)),"?")</f>
        <v/>
      </c>
      <c r="V12" s="48">
        <f>IFERROR(INDEX('T5 Other Dimensions'!$C$45:$C$48,MATCH(N12,'T5 Other Dimensions'!$B$45:$B$48,0)),"?")</f>
        <v/>
      </c>
    </row>
    <row r="13">
      <c r="A13" s="20" t="inlineStr">
        <is>
          <t>MR-1008</t>
        </is>
      </c>
      <c r="B13" s="57" t="n">
        <v>46062</v>
      </c>
      <c r="C13" s="14" t="inlineStr">
        <is>
          <t>Karachi Port</t>
        </is>
      </c>
      <c r="D13" s="14" t="inlineStr">
        <is>
          <t>Peshawar</t>
        </is>
      </c>
      <c r="E13" s="36" t="inlineStr">
        <is>
          <t>Marine</t>
        </is>
      </c>
      <c r="F13" s="14" t="inlineStr">
        <is>
          <t>In Transit</t>
        </is>
      </c>
      <c r="G13" s="22" t="n">
        <v>21000</v>
      </c>
      <c r="H13" s="22" t="n">
        <v>197000</v>
      </c>
      <c r="J13" s="25">
        <f>YEAR(B13)*10000+MONTH(B13)*100+DAY(B13)</f>
        <v/>
      </c>
      <c r="K13" s="25">
        <f>IFERROR(INDEX('T4 DimCity'!$I$6:$I$20,MATCH(INDEX('T4 DimCity'!$C$6:$C$28,MATCH(C13,'T4 DimCity'!$B$6:$B$28,0)),'T4 DimCity'!$J$6:$J$20,0)),-1)</f>
        <v/>
      </c>
      <c r="L13" s="25">
        <f>IFERROR(INDEX('T4 DimCity'!$I$6:$I$20,MATCH(INDEX('T4 DimCity'!$C$6:$C$28,MATCH(D13,'T4 DimCity'!$B$6:$B$28,0)),'T4 DimCity'!$J$6:$J$20,0)),-1)</f>
        <v/>
      </c>
      <c r="M13" s="25">
        <f>IFERROR(INDEX('T5 Other Dimensions'!$B$10:$B$30,MATCH(INDEX('T4 DimCity'!$C$6:$C$28,MATCH(C13,'T4 DimCity'!$B$6:$B$28,0))&amp;" -&gt; "&amp;INDEX('T4 DimCity'!$C$6:$C$28,MATCH(D13,'T4 DimCity'!$B$6:$B$28,0)),'T5 Other Dimensions'!$E$10:$E$30,0)),-1)</f>
        <v/>
      </c>
      <c r="N13" s="25">
        <f>IFERROR(INDEX('T5 Other Dimensions'!$B$45:$B$48,MATCH(E13,'T5 Other Dimensions'!$C$45:$C$48,0)),-1)</f>
        <v/>
      </c>
      <c r="O13" s="25">
        <f>IFERROR(INDEX('T5 Other Dimensions'!$K$45:$K$48,MATCH(F13,'T5 Other Dimensions'!$L$45:$L$48,0)),-1)</f>
        <v/>
      </c>
      <c r="P13" s="25">
        <f>A13</f>
        <v/>
      </c>
      <c r="Q13" s="25">
        <f>G13</f>
        <v/>
      </c>
      <c r="R13" s="25">
        <f>H13</f>
        <v/>
      </c>
      <c r="S13" s="25" t="inlineStr">
        <is>
          <t>1</t>
        </is>
      </c>
      <c r="U13" s="48">
        <f>IFERROR(INDEX('T4 DimCity'!$K$6:$K$20,MATCH(K13,'T4 DimCity'!$I$6:$I$20,0)),"?")</f>
        <v/>
      </c>
      <c r="V13" s="48">
        <f>IFERROR(INDEX('T5 Other Dimensions'!$C$45:$C$48,MATCH(N13,'T5 Other Dimensions'!$B$45:$B$48,0)),"?")</f>
        <v/>
      </c>
    </row>
    <row r="14">
      <c r="A14" s="20" t="inlineStr">
        <is>
          <t>MR-1009</t>
        </is>
      </c>
      <c r="B14" s="57" t="n">
        <v>46063</v>
      </c>
      <c r="C14" s="14" t="inlineStr">
        <is>
          <t>Gwadar Port</t>
        </is>
      </c>
      <c r="D14" s="14" t="inlineStr">
        <is>
          <t>Karachi Cantt</t>
        </is>
      </c>
      <c r="E14" s="36" t="inlineStr">
        <is>
          <t>Marine</t>
        </is>
      </c>
      <c r="F14" s="14" t="inlineStr">
        <is>
          <t>Delivered</t>
        </is>
      </c>
      <c r="G14" s="22" t="n">
        <v>17500</v>
      </c>
      <c r="H14" s="22" t="n">
        <v>98000</v>
      </c>
      <c r="J14" s="25">
        <f>YEAR(B14)*10000+MONTH(B14)*100+DAY(B14)</f>
        <v/>
      </c>
      <c r="K14" s="25">
        <f>IFERROR(INDEX('T4 DimCity'!$I$6:$I$20,MATCH(INDEX('T4 DimCity'!$C$6:$C$28,MATCH(C14,'T4 DimCity'!$B$6:$B$28,0)),'T4 DimCity'!$J$6:$J$20,0)),-1)</f>
        <v/>
      </c>
      <c r="L14" s="25">
        <f>IFERROR(INDEX('T4 DimCity'!$I$6:$I$20,MATCH(INDEX('T4 DimCity'!$C$6:$C$28,MATCH(D14,'T4 DimCity'!$B$6:$B$28,0)),'T4 DimCity'!$J$6:$J$20,0)),-1)</f>
        <v/>
      </c>
      <c r="M14" s="25">
        <f>IFERROR(INDEX('T5 Other Dimensions'!$B$10:$B$30,MATCH(INDEX('T4 DimCity'!$C$6:$C$28,MATCH(C14,'T4 DimCity'!$B$6:$B$28,0))&amp;" -&gt; "&amp;INDEX('T4 DimCity'!$C$6:$C$28,MATCH(D14,'T4 DimCity'!$B$6:$B$28,0)),'T5 Other Dimensions'!$E$10:$E$30,0)),-1)</f>
        <v/>
      </c>
      <c r="N14" s="25">
        <f>IFERROR(INDEX('T5 Other Dimensions'!$B$45:$B$48,MATCH(E14,'T5 Other Dimensions'!$C$45:$C$48,0)),-1)</f>
        <v/>
      </c>
      <c r="O14" s="25">
        <f>IFERROR(INDEX('T5 Other Dimensions'!$K$45:$K$48,MATCH(F14,'T5 Other Dimensions'!$L$45:$L$48,0)),-1)</f>
        <v/>
      </c>
      <c r="P14" s="25">
        <f>A14</f>
        <v/>
      </c>
      <c r="Q14" s="25">
        <f>G14</f>
        <v/>
      </c>
      <c r="R14" s="25">
        <f>H14</f>
        <v/>
      </c>
      <c r="S14" s="25" t="inlineStr">
        <is>
          <t>1</t>
        </is>
      </c>
      <c r="U14" s="48">
        <f>IFERROR(INDEX('T4 DimCity'!$K$6:$K$20,MATCH(K14,'T4 DimCity'!$I$6:$I$20,0)),"?")</f>
        <v/>
      </c>
      <c r="V14" s="48">
        <f>IFERROR(INDEX('T5 Other Dimensions'!$C$45:$C$48,MATCH(N14,'T5 Other Dimensions'!$B$45:$B$48,0)),"?")</f>
        <v/>
      </c>
    </row>
    <row r="15">
      <c r="A15" s="20" t="inlineStr">
        <is>
          <t>MR-1010</t>
        </is>
      </c>
      <c r="B15" s="57" t="n">
        <v>46064</v>
      </c>
      <c r="C15" s="14" t="inlineStr">
        <is>
          <t>Port Qasim</t>
        </is>
      </c>
      <c r="D15" s="14" t="inlineStr">
        <is>
          <t>Islamabad Dry Port</t>
        </is>
      </c>
      <c r="E15" s="36" t="inlineStr">
        <is>
          <t>Marine</t>
        </is>
      </c>
      <c r="F15" s="14" t="inlineStr">
        <is>
          <t>Delivered</t>
        </is>
      </c>
      <c r="G15" s="22" t="n">
        <v>15500</v>
      </c>
      <c r="H15" s="22" t="n">
        <v>139000</v>
      </c>
      <c r="J15" s="25">
        <f>YEAR(B15)*10000+MONTH(B15)*100+DAY(B15)</f>
        <v/>
      </c>
      <c r="K15" s="25">
        <f>IFERROR(INDEX('T4 DimCity'!$I$6:$I$20,MATCH(INDEX('T4 DimCity'!$C$6:$C$28,MATCH(C15,'T4 DimCity'!$B$6:$B$28,0)),'T4 DimCity'!$J$6:$J$20,0)),-1)</f>
        <v/>
      </c>
      <c r="L15" s="25">
        <f>IFERROR(INDEX('T4 DimCity'!$I$6:$I$20,MATCH(INDEX('T4 DimCity'!$C$6:$C$28,MATCH(D15,'T4 DimCity'!$B$6:$B$28,0)),'T4 DimCity'!$J$6:$J$20,0)),-1)</f>
        <v/>
      </c>
      <c r="M15" s="25">
        <f>IFERROR(INDEX('T5 Other Dimensions'!$B$10:$B$30,MATCH(INDEX('T4 DimCity'!$C$6:$C$28,MATCH(C15,'T4 DimCity'!$B$6:$B$28,0))&amp;" -&gt; "&amp;INDEX('T4 DimCity'!$C$6:$C$28,MATCH(D15,'T4 DimCity'!$B$6:$B$28,0)),'T5 Other Dimensions'!$E$10:$E$30,0)),-1)</f>
        <v/>
      </c>
      <c r="N15" s="25">
        <f>IFERROR(INDEX('T5 Other Dimensions'!$B$45:$B$48,MATCH(E15,'T5 Other Dimensions'!$C$45:$C$48,0)),-1)</f>
        <v/>
      </c>
      <c r="O15" s="25">
        <f>IFERROR(INDEX('T5 Other Dimensions'!$K$45:$K$48,MATCH(F15,'T5 Other Dimensions'!$L$45:$L$48,0)),-1)</f>
        <v/>
      </c>
      <c r="P15" s="25">
        <f>A15</f>
        <v/>
      </c>
      <c r="Q15" s="25">
        <f>G15</f>
        <v/>
      </c>
      <c r="R15" s="25">
        <f>H15</f>
        <v/>
      </c>
      <c r="S15" s="25" t="inlineStr">
        <is>
          <t>1</t>
        </is>
      </c>
      <c r="U15" s="48">
        <f>IFERROR(INDEX('T4 DimCity'!$K$6:$K$20,MATCH(K15,'T4 DimCity'!$I$6:$I$20,0)),"?")</f>
        <v/>
      </c>
      <c r="V15" s="48">
        <f>IFERROR(INDEX('T5 Other Dimensions'!$C$45:$C$48,MATCH(N15,'T5 Other Dimensions'!$B$45:$B$48,0)),"?")</f>
        <v/>
      </c>
    </row>
    <row r="16">
      <c r="A16" s="20" t="inlineStr">
        <is>
          <t>MR-1011</t>
        </is>
      </c>
      <c r="B16" s="57" t="n">
        <v>46065</v>
      </c>
      <c r="C16" s="14" t="inlineStr">
        <is>
          <t>Karachi Port</t>
        </is>
      </c>
      <c r="D16" s="14" t="inlineStr">
        <is>
          <t>Hyderabad</t>
        </is>
      </c>
      <c r="E16" s="36" t="inlineStr">
        <is>
          <t>Marine</t>
        </is>
      </c>
      <c r="F16" s="14" t="inlineStr">
        <is>
          <t>In Transit</t>
        </is>
      </c>
      <c r="G16" s="22" t="n">
        <v>13500</v>
      </c>
      <c r="H16" s="22" t="n">
        <v>61000</v>
      </c>
      <c r="J16" s="25">
        <f>YEAR(B16)*10000+MONTH(B16)*100+DAY(B16)</f>
        <v/>
      </c>
      <c r="K16" s="25">
        <f>IFERROR(INDEX('T4 DimCity'!$I$6:$I$20,MATCH(INDEX('T4 DimCity'!$C$6:$C$28,MATCH(C16,'T4 DimCity'!$B$6:$B$28,0)),'T4 DimCity'!$J$6:$J$20,0)),-1)</f>
        <v/>
      </c>
      <c r="L16" s="25">
        <f>IFERROR(INDEX('T4 DimCity'!$I$6:$I$20,MATCH(INDEX('T4 DimCity'!$C$6:$C$28,MATCH(D16,'T4 DimCity'!$B$6:$B$28,0)),'T4 DimCity'!$J$6:$J$20,0)),-1)</f>
        <v/>
      </c>
      <c r="M16" s="25">
        <f>IFERROR(INDEX('T5 Other Dimensions'!$B$10:$B$30,MATCH(INDEX('T4 DimCity'!$C$6:$C$28,MATCH(C16,'T4 DimCity'!$B$6:$B$28,0))&amp;" -&gt; "&amp;INDEX('T4 DimCity'!$C$6:$C$28,MATCH(D16,'T4 DimCity'!$B$6:$B$28,0)),'T5 Other Dimensions'!$E$10:$E$30,0)),-1)</f>
        <v/>
      </c>
      <c r="N16" s="25">
        <f>IFERROR(INDEX('T5 Other Dimensions'!$B$45:$B$48,MATCH(E16,'T5 Other Dimensions'!$C$45:$C$48,0)),-1)</f>
        <v/>
      </c>
      <c r="O16" s="25">
        <f>IFERROR(INDEX('T5 Other Dimensions'!$K$45:$K$48,MATCH(F16,'T5 Other Dimensions'!$L$45:$L$48,0)),-1)</f>
        <v/>
      </c>
      <c r="P16" s="25">
        <f>A16</f>
        <v/>
      </c>
      <c r="Q16" s="25">
        <f>G16</f>
        <v/>
      </c>
      <c r="R16" s="25">
        <f>H16</f>
        <v/>
      </c>
      <c r="S16" s="25" t="inlineStr">
        <is>
          <t>1</t>
        </is>
      </c>
      <c r="U16" s="48">
        <f>IFERROR(INDEX('T4 DimCity'!$K$6:$K$20,MATCH(K16,'T4 DimCity'!$I$6:$I$20,0)),"?")</f>
        <v/>
      </c>
      <c r="V16" s="48">
        <f>IFERROR(INDEX('T5 Other Dimensions'!$C$45:$C$48,MATCH(N16,'T5 Other Dimensions'!$B$45:$B$48,0)),"?")</f>
        <v/>
      </c>
    </row>
    <row r="17">
      <c r="A17" s="20" t="inlineStr">
        <is>
          <t>MR-1012</t>
        </is>
      </c>
      <c r="B17" s="57" t="n">
        <v>46066</v>
      </c>
      <c r="C17" s="14" t="inlineStr">
        <is>
          <t>Port Qasim</t>
        </is>
      </c>
      <c r="D17" s="14" t="inlineStr">
        <is>
          <t>Lahore Dry Port</t>
        </is>
      </c>
      <c r="E17" s="36" t="inlineStr">
        <is>
          <t>Marine</t>
        </is>
      </c>
      <c r="F17" s="14" t="inlineStr">
        <is>
          <t>Delivered</t>
        </is>
      </c>
      <c r="G17" s="22" t="n">
        <v>14000</v>
      </c>
      <c r="H17" s="22" t="n">
        <v>112000</v>
      </c>
      <c r="J17" s="25">
        <f>YEAR(B17)*10000+MONTH(B17)*100+DAY(B17)</f>
        <v/>
      </c>
      <c r="K17" s="25">
        <f>IFERROR(INDEX('T4 DimCity'!$I$6:$I$20,MATCH(INDEX('T4 DimCity'!$C$6:$C$28,MATCH(C17,'T4 DimCity'!$B$6:$B$28,0)),'T4 DimCity'!$J$6:$J$20,0)),-1)</f>
        <v/>
      </c>
      <c r="L17" s="25">
        <f>IFERROR(INDEX('T4 DimCity'!$I$6:$I$20,MATCH(INDEX('T4 DimCity'!$C$6:$C$28,MATCH(D17,'T4 DimCity'!$B$6:$B$28,0)),'T4 DimCity'!$J$6:$J$20,0)),-1)</f>
        <v/>
      </c>
      <c r="M17" s="25">
        <f>IFERROR(INDEX('T5 Other Dimensions'!$B$10:$B$30,MATCH(INDEX('T4 DimCity'!$C$6:$C$28,MATCH(C17,'T4 DimCity'!$B$6:$B$28,0))&amp;" -&gt; "&amp;INDEX('T4 DimCity'!$C$6:$C$28,MATCH(D17,'T4 DimCity'!$B$6:$B$28,0)),'T5 Other Dimensions'!$E$10:$E$30,0)),-1)</f>
        <v/>
      </c>
      <c r="N17" s="25">
        <f>IFERROR(INDEX('T5 Other Dimensions'!$B$45:$B$48,MATCH(E17,'T5 Other Dimensions'!$C$45:$C$48,0)),-1)</f>
        <v/>
      </c>
      <c r="O17" s="25">
        <f>IFERROR(INDEX('T5 Other Dimensions'!$K$45:$K$48,MATCH(F17,'T5 Other Dimensions'!$L$45:$L$48,0)),-1)</f>
        <v/>
      </c>
      <c r="P17" s="25">
        <f>A17</f>
        <v/>
      </c>
      <c r="Q17" s="25">
        <f>G17</f>
        <v/>
      </c>
      <c r="R17" s="25">
        <f>H17</f>
        <v/>
      </c>
      <c r="S17" s="25" t="inlineStr">
        <is>
          <t>1</t>
        </is>
      </c>
      <c r="U17" s="48">
        <f>IFERROR(INDEX('T4 DimCity'!$K$6:$K$20,MATCH(K17,'T4 DimCity'!$I$6:$I$20,0)),"?")</f>
        <v/>
      </c>
      <c r="V17" s="48">
        <f>IFERROR(INDEX('T5 Other Dimensions'!$C$45:$C$48,MATCH(N17,'T5 Other Dimensions'!$B$45:$B$48,0)),"?")</f>
        <v/>
      </c>
    </row>
    <row r="18">
      <c r="A18" s="20" t="inlineStr">
        <is>
          <t>RL-45012</t>
        </is>
      </c>
      <c r="B18" s="57" t="n">
        <v>46056</v>
      </c>
      <c r="C18" s="14" t="inlineStr">
        <is>
          <t>Karachi Cantt</t>
        </is>
      </c>
      <c r="D18" s="14" t="inlineStr">
        <is>
          <t>Lahore</t>
        </is>
      </c>
      <c r="E18" s="36" t="inlineStr">
        <is>
          <t>Rail</t>
        </is>
      </c>
      <c r="F18" s="14" t="inlineStr">
        <is>
          <t>Delivered</t>
        </is>
      </c>
      <c r="G18" s="22" t="n">
        <v>32500</v>
      </c>
      <c r="H18" s="22" t="n">
        <v>285000</v>
      </c>
      <c r="J18" s="25">
        <f>YEAR(B18)*10000+MONTH(B18)*100+DAY(B18)</f>
        <v/>
      </c>
      <c r="K18" s="25">
        <f>IFERROR(INDEX('T4 DimCity'!$I$6:$I$20,MATCH(INDEX('T4 DimCity'!$C$6:$C$28,MATCH(C18,'T4 DimCity'!$B$6:$B$28,0)),'T4 DimCity'!$J$6:$J$20,0)),-1)</f>
        <v/>
      </c>
      <c r="L18" s="25">
        <f>IFERROR(INDEX('T4 DimCity'!$I$6:$I$20,MATCH(INDEX('T4 DimCity'!$C$6:$C$28,MATCH(D18,'T4 DimCity'!$B$6:$B$28,0)),'T4 DimCity'!$J$6:$J$20,0)),-1)</f>
        <v/>
      </c>
      <c r="M18" s="25">
        <f>IFERROR(INDEX('T5 Other Dimensions'!$B$10:$B$30,MATCH(INDEX('T4 DimCity'!$C$6:$C$28,MATCH(C18,'T4 DimCity'!$B$6:$B$28,0))&amp;" -&gt; "&amp;INDEX('T4 DimCity'!$C$6:$C$28,MATCH(D18,'T4 DimCity'!$B$6:$B$28,0)),'T5 Other Dimensions'!$E$10:$E$30,0)),-1)</f>
        <v/>
      </c>
      <c r="N18" s="25">
        <f>IFERROR(INDEX('T5 Other Dimensions'!$B$45:$B$48,MATCH(E18,'T5 Other Dimensions'!$C$45:$C$48,0)),-1)</f>
        <v/>
      </c>
      <c r="O18" s="25">
        <f>IFERROR(INDEX('T5 Other Dimensions'!$K$45:$K$48,MATCH(F18,'T5 Other Dimensions'!$L$45:$L$48,0)),-1)</f>
        <v/>
      </c>
      <c r="P18" s="25">
        <f>A18</f>
        <v/>
      </c>
      <c r="Q18" s="25">
        <f>G18</f>
        <v/>
      </c>
      <c r="R18" s="25">
        <f>H18</f>
        <v/>
      </c>
      <c r="S18" s="25" t="inlineStr">
        <is>
          <t>1</t>
        </is>
      </c>
      <c r="U18" s="48">
        <f>IFERROR(INDEX('T4 DimCity'!$K$6:$K$20,MATCH(K18,'T4 DimCity'!$I$6:$I$20,0)),"?")</f>
        <v/>
      </c>
      <c r="V18" s="48">
        <f>IFERROR(INDEX('T5 Other Dimensions'!$C$45:$C$48,MATCH(N18,'T5 Other Dimensions'!$B$45:$B$48,0)),"?")</f>
        <v/>
      </c>
    </row>
    <row r="19">
      <c r="A19" s="20" t="inlineStr">
        <is>
          <t>RL-45013</t>
        </is>
      </c>
      <c r="B19" s="57" t="n">
        <v>46056</v>
      </c>
      <c r="C19" s="14" t="inlineStr">
        <is>
          <t>Karachi Cantt</t>
        </is>
      </c>
      <c r="D19" s="14" t="inlineStr">
        <is>
          <t>Rawalpindi</t>
        </is>
      </c>
      <c r="E19" s="36" t="inlineStr">
        <is>
          <t>Rail</t>
        </is>
      </c>
      <c r="F19" s="14" t="inlineStr">
        <is>
          <t>Delivered</t>
        </is>
      </c>
      <c r="G19" s="22" t="n">
        <v>28750</v>
      </c>
      <c r="H19" s="22" t="n">
        <v>301000</v>
      </c>
      <c r="J19" s="25">
        <f>YEAR(B19)*10000+MONTH(B19)*100+DAY(B19)</f>
        <v/>
      </c>
      <c r="K19" s="25">
        <f>IFERROR(INDEX('T4 DimCity'!$I$6:$I$20,MATCH(INDEX('T4 DimCity'!$C$6:$C$28,MATCH(C19,'T4 DimCity'!$B$6:$B$28,0)),'T4 DimCity'!$J$6:$J$20,0)),-1)</f>
        <v/>
      </c>
      <c r="L19" s="25">
        <f>IFERROR(INDEX('T4 DimCity'!$I$6:$I$20,MATCH(INDEX('T4 DimCity'!$C$6:$C$28,MATCH(D19,'T4 DimCity'!$B$6:$B$28,0)),'T4 DimCity'!$J$6:$J$20,0)),-1)</f>
        <v/>
      </c>
      <c r="M19" s="25">
        <f>IFERROR(INDEX('T5 Other Dimensions'!$B$10:$B$30,MATCH(INDEX('T4 DimCity'!$C$6:$C$28,MATCH(C19,'T4 DimCity'!$B$6:$B$28,0))&amp;" -&gt; "&amp;INDEX('T4 DimCity'!$C$6:$C$28,MATCH(D19,'T4 DimCity'!$B$6:$B$28,0)),'T5 Other Dimensions'!$E$10:$E$30,0)),-1)</f>
        <v/>
      </c>
      <c r="N19" s="25">
        <f>IFERROR(INDEX('T5 Other Dimensions'!$B$45:$B$48,MATCH(E19,'T5 Other Dimensions'!$C$45:$C$48,0)),-1)</f>
        <v/>
      </c>
      <c r="O19" s="25">
        <f>IFERROR(INDEX('T5 Other Dimensions'!$K$45:$K$48,MATCH(F19,'T5 Other Dimensions'!$L$45:$L$48,0)),-1)</f>
        <v/>
      </c>
      <c r="P19" s="25">
        <f>A19</f>
        <v/>
      </c>
      <c r="Q19" s="25">
        <f>G19</f>
        <v/>
      </c>
      <c r="R19" s="25">
        <f>H19</f>
        <v/>
      </c>
      <c r="S19" s="25" t="inlineStr">
        <is>
          <t>1</t>
        </is>
      </c>
      <c r="U19" s="48">
        <f>IFERROR(INDEX('T4 DimCity'!$K$6:$K$20,MATCH(K19,'T4 DimCity'!$I$6:$I$20,0)),"?")</f>
        <v/>
      </c>
      <c r="V19" s="48">
        <f>IFERROR(INDEX('T5 Other Dimensions'!$C$45:$C$48,MATCH(N19,'T5 Other Dimensions'!$B$45:$B$48,0)),"?")</f>
        <v/>
      </c>
    </row>
    <row r="20">
      <c r="A20" s="20" t="inlineStr">
        <is>
          <t>RL-45014</t>
        </is>
      </c>
      <c r="B20" s="57" t="n">
        <v>46057</v>
      </c>
      <c r="C20" s="14" t="inlineStr">
        <is>
          <t>Pipri Marshalling Yard</t>
        </is>
      </c>
      <c r="D20" s="14" t="inlineStr">
        <is>
          <t>Faisalabad</t>
        </is>
      </c>
      <c r="E20" s="36" t="inlineStr">
        <is>
          <t>Rail</t>
        </is>
      </c>
      <c r="F20" s="14" t="inlineStr">
        <is>
          <t>In Transit</t>
        </is>
      </c>
      <c r="G20" s="22" t="n">
        <v>30000</v>
      </c>
      <c r="H20" s="22" t="n">
        <v>262000</v>
      </c>
      <c r="J20" s="25">
        <f>YEAR(B20)*10000+MONTH(B20)*100+DAY(B20)</f>
        <v/>
      </c>
      <c r="K20" s="25">
        <f>IFERROR(INDEX('T4 DimCity'!$I$6:$I$20,MATCH(INDEX('T4 DimCity'!$C$6:$C$28,MATCH(C20,'T4 DimCity'!$B$6:$B$28,0)),'T4 DimCity'!$J$6:$J$20,0)),-1)</f>
        <v/>
      </c>
      <c r="L20" s="25">
        <f>IFERROR(INDEX('T4 DimCity'!$I$6:$I$20,MATCH(INDEX('T4 DimCity'!$C$6:$C$28,MATCH(D20,'T4 DimCity'!$B$6:$B$28,0)),'T4 DimCity'!$J$6:$J$20,0)),-1)</f>
        <v/>
      </c>
      <c r="M20" s="25">
        <f>IFERROR(INDEX('T5 Other Dimensions'!$B$10:$B$30,MATCH(INDEX('T4 DimCity'!$C$6:$C$28,MATCH(C20,'T4 DimCity'!$B$6:$B$28,0))&amp;" -&gt; "&amp;INDEX('T4 DimCity'!$C$6:$C$28,MATCH(D20,'T4 DimCity'!$B$6:$B$28,0)),'T5 Other Dimensions'!$E$10:$E$30,0)),-1)</f>
        <v/>
      </c>
      <c r="N20" s="25">
        <f>IFERROR(INDEX('T5 Other Dimensions'!$B$45:$B$48,MATCH(E20,'T5 Other Dimensions'!$C$45:$C$48,0)),-1)</f>
        <v/>
      </c>
      <c r="O20" s="25">
        <f>IFERROR(INDEX('T5 Other Dimensions'!$K$45:$K$48,MATCH(F20,'T5 Other Dimensions'!$L$45:$L$48,0)),-1)</f>
        <v/>
      </c>
      <c r="P20" s="25">
        <f>A20</f>
        <v/>
      </c>
      <c r="Q20" s="25">
        <f>G20</f>
        <v/>
      </c>
      <c r="R20" s="25">
        <f>H20</f>
        <v/>
      </c>
      <c r="S20" s="25" t="inlineStr">
        <is>
          <t>1</t>
        </is>
      </c>
      <c r="U20" s="48">
        <f>IFERROR(INDEX('T4 DimCity'!$K$6:$K$20,MATCH(K20,'T4 DimCity'!$I$6:$I$20,0)),"?")</f>
        <v/>
      </c>
      <c r="V20" s="48">
        <f>IFERROR(INDEX('T5 Other Dimensions'!$C$45:$C$48,MATCH(N20,'T5 Other Dimensions'!$B$45:$B$48,0)),"?")</f>
        <v/>
      </c>
    </row>
    <row r="21">
      <c r="A21" s="20" t="inlineStr">
        <is>
          <t>RL-45015</t>
        </is>
      </c>
      <c r="B21" s="57" t="n">
        <v>46058</v>
      </c>
      <c r="C21" s="14" t="inlineStr">
        <is>
          <t>Karachi Cantt</t>
        </is>
      </c>
      <c r="D21" s="14" t="inlineStr">
        <is>
          <t>Multan</t>
        </is>
      </c>
      <c r="E21" s="36" t="inlineStr">
        <is>
          <t>Rail</t>
        </is>
      </c>
      <c r="F21" s="14" t="inlineStr">
        <is>
          <t>Delivered</t>
        </is>
      </c>
      <c r="G21" s="22" t="n">
        <v>26500</v>
      </c>
      <c r="H21" s="22" t="n">
        <v>198000</v>
      </c>
      <c r="J21" s="25">
        <f>YEAR(B21)*10000+MONTH(B21)*100+DAY(B21)</f>
        <v/>
      </c>
      <c r="K21" s="25">
        <f>IFERROR(INDEX('T4 DimCity'!$I$6:$I$20,MATCH(INDEX('T4 DimCity'!$C$6:$C$28,MATCH(C21,'T4 DimCity'!$B$6:$B$28,0)),'T4 DimCity'!$J$6:$J$20,0)),-1)</f>
        <v/>
      </c>
      <c r="L21" s="25">
        <f>IFERROR(INDEX('T4 DimCity'!$I$6:$I$20,MATCH(INDEX('T4 DimCity'!$C$6:$C$28,MATCH(D21,'T4 DimCity'!$B$6:$B$28,0)),'T4 DimCity'!$J$6:$J$20,0)),-1)</f>
        <v/>
      </c>
      <c r="M21" s="25">
        <f>IFERROR(INDEX('T5 Other Dimensions'!$B$10:$B$30,MATCH(INDEX('T4 DimCity'!$C$6:$C$28,MATCH(C21,'T4 DimCity'!$B$6:$B$28,0))&amp;" -&gt; "&amp;INDEX('T4 DimCity'!$C$6:$C$28,MATCH(D21,'T4 DimCity'!$B$6:$B$28,0)),'T5 Other Dimensions'!$E$10:$E$30,0)),-1)</f>
        <v/>
      </c>
      <c r="N21" s="25">
        <f>IFERROR(INDEX('T5 Other Dimensions'!$B$45:$B$48,MATCH(E21,'T5 Other Dimensions'!$C$45:$C$48,0)),-1)</f>
        <v/>
      </c>
      <c r="O21" s="25">
        <f>IFERROR(INDEX('T5 Other Dimensions'!$K$45:$K$48,MATCH(F21,'T5 Other Dimensions'!$L$45:$L$48,0)),-1)</f>
        <v/>
      </c>
      <c r="P21" s="25">
        <f>A21</f>
        <v/>
      </c>
      <c r="Q21" s="25">
        <f>G21</f>
        <v/>
      </c>
      <c r="R21" s="25">
        <f>H21</f>
        <v/>
      </c>
      <c r="S21" s="25" t="inlineStr">
        <is>
          <t>1</t>
        </is>
      </c>
      <c r="U21" s="48">
        <f>IFERROR(INDEX('T4 DimCity'!$K$6:$K$20,MATCH(K21,'T4 DimCity'!$I$6:$I$20,0)),"?")</f>
        <v/>
      </c>
      <c r="V21" s="48">
        <f>IFERROR(INDEX('T5 Other Dimensions'!$C$45:$C$48,MATCH(N21,'T5 Other Dimensions'!$B$45:$B$48,0)),"?")</f>
        <v/>
      </c>
    </row>
    <row r="22">
      <c r="A22" s="20" t="inlineStr">
        <is>
          <t>RL-45016</t>
        </is>
      </c>
      <c r="B22" s="57" t="n">
        <v>46059</v>
      </c>
      <c r="C22" s="14" t="inlineStr">
        <is>
          <t>Pipri Marshalling Yard</t>
        </is>
      </c>
      <c r="D22" s="14" t="inlineStr">
        <is>
          <t>Lahore</t>
        </is>
      </c>
      <c r="E22" s="36" t="inlineStr">
        <is>
          <t>Rail</t>
        </is>
      </c>
      <c r="F22" s="14" t="inlineStr">
        <is>
          <t>Delayed</t>
        </is>
      </c>
      <c r="G22" s="22" t="n">
        <v>31250</v>
      </c>
      <c r="H22" s="22" t="n">
        <v>276000</v>
      </c>
      <c r="J22" s="25">
        <f>YEAR(B22)*10000+MONTH(B22)*100+DAY(B22)</f>
        <v/>
      </c>
      <c r="K22" s="25">
        <f>IFERROR(INDEX('T4 DimCity'!$I$6:$I$20,MATCH(INDEX('T4 DimCity'!$C$6:$C$28,MATCH(C22,'T4 DimCity'!$B$6:$B$28,0)),'T4 DimCity'!$J$6:$J$20,0)),-1)</f>
        <v/>
      </c>
      <c r="L22" s="25">
        <f>IFERROR(INDEX('T4 DimCity'!$I$6:$I$20,MATCH(INDEX('T4 DimCity'!$C$6:$C$28,MATCH(D22,'T4 DimCity'!$B$6:$B$28,0)),'T4 DimCity'!$J$6:$J$20,0)),-1)</f>
        <v/>
      </c>
      <c r="M22" s="25">
        <f>IFERROR(INDEX('T5 Other Dimensions'!$B$10:$B$30,MATCH(INDEX('T4 DimCity'!$C$6:$C$28,MATCH(C22,'T4 DimCity'!$B$6:$B$28,0))&amp;" -&gt; "&amp;INDEX('T4 DimCity'!$C$6:$C$28,MATCH(D22,'T4 DimCity'!$B$6:$B$28,0)),'T5 Other Dimensions'!$E$10:$E$30,0)),-1)</f>
        <v/>
      </c>
      <c r="N22" s="25">
        <f>IFERROR(INDEX('T5 Other Dimensions'!$B$45:$B$48,MATCH(E22,'T5 Other Dimensions'!$C$45:$C$48,0)),-1)</f>
        <v/>
      </c>
      <c r="O22" s="25">
        <f>IFERROR(INDEX('T5 Other Dimensions'!$K$45:$K$48,MATCH(F22,'T5 Other Dimensions'!$L$45:$L$48,0)),-1)</f>
        <v/>
      </c>
      <c r="P22" s="25">
        <f>A22</f>
        <v/>
      </c>
      <c r="Q22" s="25">
        <f>G22</f>
        <v/>
      </c>
      <c r="R22" s="25">
        <f>H22</f>
        <v/>
      </c>
      <c r="S22" s="25" t="inlineStr">
        <is>
          <t>1</t>
        </is>
      </c>
      <c r="U22" s="48">
        <f>IFERROR(INDEX('T4 DimCity'!$K$6:$K$20,MATCH(K22,'T4 DimCity'!$I$6:$I$20,0)),"?")</f>
        <v/>
      </c>
      <c r="V22" s="48">
        <f>IFERROR(INDEX('T5 Other Dimensions'!$C$45:$C$48,MATCH(N22,'T5 Other Dimensions'!$B$45:$B$48,0)),"?")</f>
        <v/>
      </c>
    </row>
    <row r="23">
      <c r="A23" s="20" t="inlineStr">
        <is>
          <t>RL-45017</t>
        </is>
      </c>
      <c r="B23" s="57" t="n">
        <v>46060</v>
      </c>
      <c r="C23" s="14" t="inlineStr">
        <is>
          <t>Karachi Cantt</t>
        </is>
      </c>
      <c r="D23" s="14" t="inlineStr">
        <is>
          <t>Peshawar Cantt</t>
        </is>
      </c>
      <c r="E23" s="36" t="inlineStr">
        <is>
          <t>Rail</t>
        </is>
      </c>
      <c r="F23" s="14" t="inlineStr">
        <is>
          <t>Delivered</t>
        </is>
      </c>
      <c r="G23" s="22" t="n">
        <v>29000</v>
      </c>
      <c r="H23" s="22" t="n">
        <v>334000</v>
      </c>
      <c r="J23" s="25">
        <f>YEAR(B23)*10000+MONTH(B23)*100+DAY(B23)</f>
        <v/>
      </c>
      <c r="K23" s="25">
        <f>IFERROR(INDEX('T4 DimCity'!$I$6:$I$20,MATCH(INDEX('T4 DimCity'!$C$6:$C$28,MATCH(C23,'T4 DimCity'!$B$6:$B$28,0)),'T4 DimCity'!$J$6:$J$20,0)),-1)</f>
        <v/>
      </c>
      <c r="L23" s="25">
        <f>IFERROR(INDEX('T4 DimCity'!$I$6:$I$20,MATCH(INDEX('T4 DimCity'!$C$6:$C$28,MATCH(D23,'T4 DimCity'!$B$6:$B$28,0)),'T4 DimCity'!$J$6:$J$20,0)),-1)</f>
        <v/>
      </c>
      <c r="M23" s="25">
        <f>IFERROR(INDEX('T5 Other Dimensions'!$B$10:$B$30,MATCH(INDEX('T4 DimCity'!$C$6:$C$28,MATCH(C23,'T4 DimCity'!$B$6:$B$28,0))&amp;" -&gt; "&amp;INDEX('T4 DimCity'!$C$6:$C$28,MATCH(D23,'T4 DimCity'!$B$6:$B$28,0)),'T5 Other Dimensions'!$E$10:$E$30,0)),-1)</f>
        <v/>
      </c>
      <c r="N23" s="25">
        <f>IFERROR(INDEX('T5 Other Dimensions'!$B$45:$B$48,MATCH(E23,'T5 Other Dimensions'!$C$45:$C$48,0)),-1)</f>
        <v/>
      </c>
      <c r="O23" s="25">
        <f>IFERROR(INDEX('T5 Other Dimensions'!$K$45:$K$48,MATCH(F23,'T5 Other Dimensions'!$L$45:$L$48,0)),-1)</f>
        <v/>
      </c>
      <c r="P23" s="25">
        <f>A23</f>
        <v/>
      </c>
      <c r="Q23" s="25">
        <f>G23</f>
        <v/>
      </c>
      <c r="R23" s="25">
        <f>H23</f>
        <v/>
      </c>
      <c r="S23" s="25" t="inlineStr">
        <is>
          <t>1</t>
        </is>
      </c>
      <c r="U23" s="48">
        <f>IFERROR(INDEX('T4 DimCity'!$K$6:$K$20,MATCH(K23,'T4 DimCity'!$I$6:$I$20,0)),"?")</f>
        <v/>
      </c>
      <c r="V23" s="48">
        <f>IFERROR(INDEX('T5 Other Dimensions'!$C$45:$C$48,MATCH(N23,'T5 Other Dimensions'!$B$45:$B$48,0)),"?")</f>
        <v/>
      </c>
    </row>
    <row r="24">
      <c r="A24" s="20" t="inlineStr">
        <is>
          <t>RL-45018</t>
        </is>
      </c>
      <c r="B24" s="57" t="n">
        <v>46062</v>
      </c>
      <c r="C24" s="14" t="inlineStr">
        <is>
          <t>Pipri Marshalling Yard</t>
        </is>
      </c>
      <c r="D24" s="14" t="inlineStr">
        <is>
          <t>Rawalpindi</t>
        </is>
      </c>
      <c r="E24" s="36" t="inlineStr">
        <is>
          <t>Rail</t>
        </is>
      </c>
      <c r="F24" s="14" t="inlineStr">
        <is>
          <t>Delayed</t>
        </is>
      </c>
      <c r="G24" s="22" t="n">
        <v>27500</v>
      </c>
      <c r="H24" s="22" t="n">
        <v>289000</v>
      </c>
      <c r="J24" s="25">
        <f>YEAR(B24)*10000+MONTH(B24)*100+DAY(B24)</f>
        <v/>
      </c>
      <c r="K24" s="25">
        <f>IFERROR(INDEX('T4 DimCity'!$I$6:$I$20,MATCH(INDEX('T4 DimCity'!$C$6:$C$28,MATCH(C24,'T4 DimCity'!$B$6:$B$28,0)),'T4 DimCity'!$J$6:$J$20,0)),-1)</f>
        <v/>
      </c>
      <c r="L24" s="25">
        <f>IFERROR(INDEX('T4 DimCity'!$I$6:$I$20,MATCH(INDEX('T4 DimCity'!$C$6:$C$28,MATCH(D24,'T4 DimCity'!$B$6:$B$28,0)),'T4 DimCity'!$J$6:$J$20,0)),-1)</f>
        <v/>
      </c>
      <c r="M24" s="25">
        <f>IFERROR(INDEX('T5 Other Dimensions'!$B$10:$B$30,MATCH(INDEX('T4 DimCity'!$C$6:$C$28,MATCH(C24,'T4 DimCity'!$B$6:$B$28,0))&amp;" -&gt; "&amp;INDEX('T4 DimCity'!$C$6:$C$28,MATCH(D24,'T4 DimCity'!$B$6:$B$28,0)),'T5 Other Dimensions'!$E$10:$E$30,0)),-1)</f>
        <v/>
      </c>
      <c r="N24" s="25">
        <f>IFERROR(INDEX('T5 Other Dimensions'!$B$45:$B$48,MATCH(E24,'T5 Other Dimensions'!$C$45:$C$48,0)),-1)</f>
        <v/>
      </c>
      <c r="O24" s="25">
        <f>IFERROR(INDEX('T5 Other Dimensions'!$K$45:$K$48,MATCH(F24,'T5 Other Dimensions'!$L$45:$L$48,0)),-1)</f>
        <v/>
      </c>
      <c r="P24" s="25">
        <f>A24</f>
        <v/>
      </c>
      <c r="Q24" s="25">
        <f>G24</f>
        <v/>
      </c>
      <c r="R24" s="25">
        <f>H24</f>
        <v/>
      </c>
      <c r="S24" s="25" t="inlineStr">
        <is>
          <t>1</t>
        </is>
      </c>
      <c r="U24" s="48">
        <f>IFERROR(INDEX('T4 DimCity'!$K$6:$K$20,MATCH(K24,'T4 DimCity'!$I$6:$I$20,0)),"?")</f>
        <v/>
      </c>
      <c r="V24" s="48">
        <f>IFERROR(INDEX('T5 Other Dimensions'!$C$45:$C$48,MATCH(N24,'T5 Other Dimensions'!$B$45:$B$48,0)),"?")</f>
        <v/>
      </c>
    </row>
    <row r="25">
      <c r="A25" s="20" t="inlineStr">
        <is>
          <t>RL-45019</t>
        </is>
      </c>
      <c r="B25" s="57" t="n">
        <v>46063</v>
      </c>
      <c r="C25" s="14" t="inlineStr">
        <is>
          <t>Karachi Cantt</t>
        </is>
      </c>
      <c r="D25" s="14" t="inlineStr">
        <is>
          <t>Lahore</t>
        </is>
      </c>
      <c r="E25" s="36" t="inlineStr">
        <is>
          <t>Rail</t>
        </is>
      </c>
      <c r="F25" s="14" t="inlineStr">
        <is>
          <t>Delivered</t>
        </is>
      </c>
      <c r="G25" s="22" t="n">
        <v>33000</v>
      </c>
      <c r="H25" s="22" t="n">
        <v>291000</v>
      </c>
      <c r="J25" s="25">
        <f>YEAR(B25)*10000+MONTH(B25)*100+DAY(B25)</f>
        <v/>
      </c>
      <c r="K25" s="25">
        <f>IFERROR(INDEX('T4 DimCity'!$I$6:$I$20,MATCH(INDEX('T4 DimCity'!$C$6:$C$28,MATCH(C25,'T4 DimCity'!$B$6:$B$28,0)),'T4 DimCity'!$J$6:$J$20,0)),-1)</f>
        <v/>
      </c>
      <c r="L25" s="25">
        <f>IFERROR(INDEX('T4 DimCity'!$I$6:$I$20,MATCH(INDEX('T4 DimCity'!$C$6:$C$28,MATCH(D25,'T4 DimCity'!$B$6:$B$28,0)),'T4 DimCity'!$J$6:$J$20,0)),-1)</f>
        <v/>
      </c>
      <c r="M25" s="25">
        <f>IFERROR(INDEX('T5 Other Dimensions'!$B$10:$B$30,MATCH(INDEX('T4 DimCity'!$C$6:$C$28,MATCH(C25,'T4 DimCity'!$B$6:$B$28,0))&amp;" -&gt; "&amp;INDEX('T4 DimCity'!$C$6:$C$28,MATCH(D25,'T4 DimCity'!$B$6:$B$28,0)),'T5 Other Dimensions'!$E$10:$E$30,0)),-1)</f>
        <v/>
      </c>
      <c r="N25" s="25">
        <f>IFERROR(INDEX('T5 Other Dimensions'!$B$45:$B$48,MATCH(E25,'T5 Other Dimensions'!$C$45:$C$48,0)),-1)</f>
        <v/>
      </c>
      <c r="O25" s="25">
        <f>IFERROR(INDEX('T5 Other Dimensions'!$K$45:$K$48,MATCH(F25,'T5 Other Dimensions'!$L$45:$L$48,0)),-1)</f>
        <v/>
      </c>
      <c r="P25" s="25">
        <f>A25</f>
        <v/>
      </c>
      <c r="Q25" s="25">
        <f>G25</f>
        <v/>
      </c>
      <c r="R25" s="25">
        <f>H25</f>
        <v/>
      </c>
      <c r="S25" s="25" t="inlineStr">
        <is>
          <t>1</t>
        </is>
      </c>
      <c r="U25" s="48">
        <f>IFERROR(INDEX('T4 DimCity'!$K$6:$K$20,MATCH(K25,'T4 DimCity'!$I$6:$I$20,0)),"?")</f>
        <v/>
      </c>
      <c r="V25" s="48">
        <f>IFERROR(INDEX('T5 Other Dimensions'!$C$45:$C$48,MATCH(N25,'T5 Other Dimensions'!$B$45:$B$48,0)),"?")</f>
        <v/>
      </c>
    </row>
    <row r="26">
      <c r="A26" s="20" t="inlineStr">
        <is>
          <t>RL-45020</t>
        </is>
      </c>
      <c r="B26" s="57" t="n">
        <v>46064</v>
      </c>
      <c r="C26" s="14" t="inlineStr">
        <is>
          <t>Karachi Cantt</t>
        </is>
      </c>
      <c r="D26" s="14" t="inlineStr">
        <is>
          <t>Sukkur</t>
        </is>
      </c>
      <c r="E26" s="36" t="inlineStr">
        <is>
          <t>Rail</t>
        </is>
      </c>
      <c r="F26" s="14" t="inlineStr">
        <is>
          <t>In Transit</t>
        </is>
      </c>
      <c r="G26" s="22" t="n">
        <v>28250</v>
      </c>
      <c r="H26" s="22" t="n">
        <v>142000</v>
      </c>
      <c r="J26" s="25">
        <f>YEAR(B26)*10000+MONTH(B26)*100+DAY(B26)</f>
        <v/>
      </c>
      <c r="K26" s="25">
        <f>IFERROR(INDEX('T4 DimCity'!$I$6:$I$20,MATCH(INDEX('T4 DimCity'!$C$6:$C$28,MATCH(C26,'T4 DimCity'!$B$6:$B$28,0)),'T4 DimCity'!$J$6:$J$20,0)),-1)</f>
        <v/>
      </c>
      <c r="L26" s="25">
        <f>IFERROR(INDEX('T4 DimCity'!$I$6:$I$20,MATCH(INDEX('T4 DimCity'!$C$6:$C$28,MATCH(D26,'T4 DimCity'!$B$6:$B$28,0)),'T4 DimCity'!$J$6:$J$20,0)),-1)</f>
        <v/>
      </c>
      <c r="M26" s="25">
        <f>IFERROR(INDEX('T5 Other Dimensions'!$B$10:$B$30,MATCH(INDEX('T4 DimCity'!$C$6:$C$28,MATCH(C26,'T4 DimCity'!$B$6:$B$28,0))&amp;" -&gt; "&amp;INDEX('T4 DimCity'!$C$6:$C$28,MATCH(D26,'T4 DimCity'!$B$6:$B$28,0)),'T5 Other Dimensions'!$E$10:$E$30,0)),-1)</f>
        <v/>
      </c>
      <c r="N26" s="25">
        <f>IFERROR(INDEX('T5 Other Dimensions'!$B$45:$B$48,MATCH(E26,'T5 Other Dimensions'!$C$45:$C$48,0)),-1)</f>
        <v/>
      </c>
      <c r="O26" s="25">
        <f>IFERROR(INDEX('T5 Other Dimensions'!$K$45:$K$48,MATCH(F26,'T5 Other Dimensions'!$L$45:$L$48,0)),-1)</f>
        <v/>
      </c>
      <c r="P26" s="25">
        <f>A26</f>
        <v/>
      </c>
      <c r="Q26" s="25">
        <f>G26</f>
        <v/>
      </c>
      <c r="R26" s="25">
        <f>H26</f>
        <v/>
      </c>
      <c r="S26" s="25" t="inlineStr">
        <is>
          <t>1</t>
        </is>
      </c>
      <c r="U26" s="48">
        <f>IFERROR(INDEX('T4 DimCity'!$K$6:$K$20,MATCH(K26,'T4 DimCity'!$I$6:$I$20,0)),"?")</f>
        <v/>
      </c>
      <c r="V26" s="48">
        <f>IFERROR(INDEX('T5 Other Dimensions'!$C$45:$C$48,MATCH(N26,'T5 Other Dimensions'!$B$45:$B$48,0)),"?")</f>
        <v/>
      </c>
    </row>
    <row r="27">
      <c r="A27" s="20" t="inlineStr">
        <is>
          <t>RL-45021</t>
        </is>
      </c>
      <c r="B27" s="57" t="n">
        <v>46065</v>
      </c>
      <c r="C27" s="14" t="inlineStr">
        <is>
          <t>Pipri Marshalling Yard</t>
        </is>
      </c>
      <c r="D27" s="14" t="inlineStr">
        <is>
          <t>Multan</t>
        </is>
      </c>
      <c r="E27" s="36" t="inlineStr">
        <is>
          <t>Rail</t>
        </is>
      </c>
      <c r="F27" s="14" t="inlineStr">
        <is>
          <t>Delivered</t>
        </is>
      </c>
      <c r="G27" s="22" t="n">
        <v>28500</v>
      </c>
      <c r="H27" s="22" t="n">
        <v>207000</v>
      </c>
      <c r="J27" s="25">
        <f>YEAR(B27)*10000+MONTH(B27)*100+DAY(B27)</f>
        <v/>
      </c>
      <c r="K27" s="25">
        <f>IFERROR(INDEX('T4 DimCity'!$I$6:$I$20,MATCH(INDEX('T4 DimCity'!$C$6:$C$28,MATCH(C27,'T4 DimCity'!$B$6:$B$28,0)),'T4 DimCity'!$J$6:$J$20,0)),-1)</f>
        <v/>
      </c>
      <c r="L27" s="25">
        <f>IFERROR(INDEX('T4 DimCity'!$I$6:$I$20,MATCH(INDEX('T4 DimCity'!$C$6:$C$28,MATCH(D27,'T4 DimCity'!$B$6:$B$28,0)),'T4 DimCity'!$J$6:$J$20,0)),-1)</f>
        <v/>
      </c>
      <c r="M27" s="25">
        <f>IFERROR(INDEX('T5 Other Dimensions'!$B$10:$B$30,MATCH(INDEX('T4 DimCity'!$C$6:$C$28,MATCH(C27,'T4 DimCity'!$B$6:$B$28,0))&amp;" -&gt; "&amp;INDEX('T4 DimCity'!$C$6:$C$28,MATCH(D27,'T4 DimCity'!$B$6:$B$28,0)),'T5 Other Dimensions'!$E$10:$E$30,0)),-1)</f>
        <v/>
      </c>
      <c r="N27" s="25">
        <f>IFERROR(INDEX('T5 Other Dimensions'!$B$45:$B$48,MATCH(E27,'T5 Other Dimensions'!$C$45:$C$48,0)),-1)</f>
        <v/>
      </c>
      <c r="O27" s="25">
        <f>IFERROR(INDEX('T5 Other Dimensions'!$K$45:$K$48,MATCH(F27,'T5 Other Dimensions'!$L$45:$L$48,0)),-1)</f>
        <v/>
      </c>
      <c r="P27" s="25">
        <f>A27</f>
        <v/>
      </c>
      <c r="Q27" s="25">
        <f>G27</f>
        <v/>
      </c>
      <c r="R27" s="25">
        <f>H27</f>
        <v/>
      </c>
      <c r="S27" s="25" t="inlineStr">
        <is>
          <t>1</t>
        </is>
      </c>
      <c r="U27" s="48">
        <f>IFERROR(INDEX('T4 DimCity'!$K$6:$K$20,MATCH(K27,'T4 DimCity'!$I$6:$I$20,0)),"?")</f>
        <v/>
      </c>
      <c r="V27" s="48">
        <f>IFERROR(INDEX('T5 Other Dimensions'!$C$45:$C$48,MATCH(N27,'T5 Other Dimensions'!$B$45:$B$48,0)),"?")</f>
        <v/>
      </c>
    </row>
    <row r="28">
      <c r="A28" s="20" t="inlineStr">
        <is>
          <t>RD-501</t>
        </is>
      </c>
      <c r="B28" s="57" t="n">
        <v>46055</v>
      </c>
      <c r="C28" s="14" t="inlineStr">
        <is>
          <t>Lahore</t>
        </is>
      </c>
      <c r="D28" s="14" t="inlineStr">
        <is>
          <t>Islamabad</t>
        </is>
      </c>
      <c r="E28" s="36" t="inlineStr">
        <is>
          <t>Road</t>
        </is>
      </c>
      <c r="F28" s="14" t="inlineStr">
        <is>
          <t>Delivered</t>
        </is>
      </c>
      <c r="G28" s="22" t="n">
        <v>6500</v>
      </c>
      <c r="H28" s="22" t="n">
        <v>58000</v>
      </c>
      <c r="J28" s="25">
        <f>YEAR(B28)*10000+MONTH(B28)*100+DAY(B28)</f>
        <v/>
      </c>
      <c r="K28" s="25">
        <f>IFERROR(INDEX('T4 DimCity'!$I$6:$I$20,MATCH(INDEX('T4 DimCity'!$C$6:$C$28,MATCH(C28,'T4 DimCity'!$B$6:$B$28,0)),'T4 DimCity'!$J$6:$J$20,0)),-1)</f>
        <v/>
      </c>
      <c r="L28" s="25">
        <f>IFERROR(INDEX('T4 DimCity'!$I$6:$I$20,MATCH(INDEX('T4 DimCity'!$C$6:$C$28,MATCH(D28,'T4 DimCity'!$B$6:$B$28,0)),'T4 DimCity'!$J$6:$J$20,0)),-1)</f>
        <v/>
      </c>
      <c r="M28" s="25">
        <f>IFERROR(INDEX('T5 Other Dimensions'!$B$10:$B$30,MATCH(INDEX('T4 DimCity'!$C$6:$C$28,MATCH(C28,'T4 DimCity'!$B$6:$B$28,0))&amp;" -&gt; "&amp;INDEX('T4 DimCity'!$C$6:$C$28,MATCH(D28,'T4 DimCity'!$B$6:$B$28,0)),'T5 Other Dimensions'!$E$10:$E$30,0)),-1)</f>
        <v/>
      </c>
      <c r="N28" s="25">
        <f>IFERROR(INDEX('T5 Other Dimensions'!$B$45:$B$48,MATCH(E28,'T5 Other Dimensions'!$C$45:$C$48,0)),-1)</f>
        <v/>
      </c>
      <c r="O28" s="25">
        <f>IFERROR(INDEX('T5 Other Dimensions'!$K$45:$K$48,MATCH(F28,'T5 Other Dimensions'!$L$45:$L$48,0)),-1)</f>
        <v/>
      </c>
      <c r="P28" s="25">
        <f>A28</f>
        <v/>
      </c>
      <c r="Q28" s="25">
        <f>G28</f>
        <v/>
      </c>
      <c r="R28" s="25">
        <f>H28</f>
        <v/>
      </c>
      <c r="S28" s="25" t="inlineStr">
        <is>
          <t>1</t>
        </is>
      </c>
      <c r="U28" s="48">
        <f>IFERROR(INDEX('T4 DimCity'!$K$6:$K$20,MATCH(K28,'T4 DimCity'!$I$6:$I$20,0)),"?")</f>
        <v/>
      </c>
      <c r="V28" s="48">
        <f>IFERROR(INDEX('T5 Other Dimensions'!$C$45:$C$48,MATCH(N28,'T5 Other Dimensions'!$B$45:$B$48,0)),"?")</f>
        <v/>
      </c>
    </row>
    <row r="29">
      <c r="A29" s="20" t="inlineStr">
        <is>
          <t>RD-502</t>
        </is>
      </c>
      <c r="B29" s="57" t="n">
        <v>46055</v>
      </c>
      <c r="C29" s="14" t="inlineStr">
        <is>
          <t>Karachi</t>
        </is>
      </c>
      <c r="D29" s="14" t="inlineStr">
        <is>
          <t>Hyderabad</t>
        </is>
      </c>
      <c r="E29" s="36" t="inlineStr">
        <is>
          <t>Road</t>
        </is>
      </c>
      <c r="F29" s="14" t="inlineStr">
        <is>
          <t>Delivered</t>
        </is>
      </c>
      <c r="G29" s="22" t="n">
        <v>7200</v>
      </c>
      <c r="H29" s="22" t="n">
        <v>41000</v>
      </c>
      <c r="J29" s="25">
        <f>YEAR(B29)*10000+MONTH(B29)*100+DAY(B29)</f>
        <v/>
      </c>
      <c r="K29" s="25">
        <f>IFERROR(INDEX('T4 DimCity'!$I$6:$I$20,MATCH(INDEX('T4 DimCity'!$C$6:$C$28,MATCH(C29,'T4 DimCity'!$B$6:$B$28,0)),'T4 DimCity'!$J$6:$J$20,0)),-1)</f>
        <v/>
      </c>
      <c r="L29" s="25">
        <f>IFERROR(INDEX('T4 DimCity'!$I$6:$I$20,MATCH(INDEX('T4 DimCity'!$C$6:$C$28,MATCH(D29,'T4 DimCity'!$B$6:$B$28,0)),'T4 DimCity'!$J$6:$J$20,0)),-1)</f>
        <v/>
      </c>
      <c r="M29" s="25">
        <f>IFERROR(INDEX('T5 Other Dimensions'!$B$10:$B$30,MATCH(INDEX('T4 DimCity'!$C$6:$C$28,MATCH(C29,'T4 DimCity'!$B$6:$B$28,0))&amp;" -&gt; "&amp;INDEX('T4 DimCity'!$C$6:$C$28,MATCH(D29,'T4 DimCity'!$B$6:$B$28,0)),'T5 Other Dimensions'!$E$10:$E$30,0)),-1)</f>
        <v/>
      </c>
      <c r="N29" s="25">
        <f>IFERROR(INDEX('T5 Other Dimensions'!$B$45:$B$48,MATCH(E29,'T5 Other Dimensions'!$C$45:$C$48,0)),-1)</f>
        <v/>
      </c>
      <c r="O29" s="25">
        <f>IFERROR(INDEX('T5 Other Dimensions'!$K$45:$K$48,MATCH(F29,'T5 Other Dimensions'!$L$45:$L$48,0)),-1)</f>
        <v/>
      </c>
      <c r="P29" s="25">
        <f>A29</f>
        <v/>
      </c>
      <c r="Q29" s="25">
        <f>G29</f>
        <v/>
      </c>
      <c r="R29" s="25">
        <f>H29</f>
        <v/>
      </c>
      <c r="S29" s="25" t="inlineStr">
        <is>
          <t>1</t>
        </is>
      </c>
      <c r="U29" s="48">
        <f>IFERROR(INDEX('T4 DimCity'!$K$6:$K$20,MATCH(K29,'T4 DimCity'!$I$6:$I$20,0)),"?")</f>
        <v/>
      </c>
      <c r="V29" s="48">
        <f>IFERROR(INDEX('T5 Other Dimensions'!$C$45:$C$48,MATCH(N29,'T5 Other Dimensions'!$B$45:$B$48,0)),"?")</f>
        <v/>
      </c>
    </row>
    <row r="30">
      <c r="A30" s="20" t="inlineStr">
        <is>
          <t>RD-503</t>
        </is>
      </c>
      <c r="B30" s="57" t="n">
        <v>46056</v>
      </c>
      <c r="C30" s="14" t="inlineStr">
        <is>
          <t>Lahore</t>
        </is>
      </c>
      <c r="D30" s="14" t="inlineStr">
        <is>
          <t>Faisalabad</t>
        </is>
      </c>
      <c r="E30" s="36" t="inlineStr">
        <is>
          <t>Road</t>
        </is>
      </c>
      <c r="F30" s="14" t="inlineStr">
        <is>
          <t>In Transit</t>
        </is>
      </c>
      <c r="G30" s="22" t="n">
        <v>5800</v>
      </c>
      <c r="H30" s="22" t="n">
        <v>32000</v>
      </c>
      <c r="J30" s="25">
        <f>YEAR(B30)*10000+MONTH(B30)*100+DAY(B30)</f>
        <v/>
      </c>
      <c r="K30" s="25">
        <f>IFERROR(INDEX('T4 DimCity'!$I$6:$I$20,MATCH(INDEX('T4 DimCity'!$C$6:$C$28,MATCH(C30,'T4 DimCity'!$B$6:$B$28,0)),'T4 DimCity'!$J$6:$J$20,0)),-1)</f>
        <v/>
      </c>
      <c r="L30" s="25">
        <f>IFERROR(INDEX('T4 DimCity'!$I$6:$I$20,MATCH(INDEX('T4 DimCity'!$C$6:$C$28,MATCH(D30,'T4 DimCity'!$B$6:$B$28,0)),'T4 DimCity'!$J$6:$J$20,0)),-1)</f>
        <v/>
      </c>
      <c r="M30" s="25">
        <f>IFERROR(INDEX('T5 Other Dimensions'!$B$10:$B$30,MATCH(INDEX('T4 DimCity'!$C$6:$C$28,MATCH(C30,'T4 DimCity'!$B$6:$B$28,0))&amp;" -&gt; "&amp;INDEX('T4 DimCity'!$C$6:$C$28,MATCH(D30,'T4 DimCity'!$B$6:$B$28,0)),'T5 Other Dimensions'!$E$10:$E$30,0)),-1)</f>
        <v/>
      </c>
      <c r="N30" s="25">
        <f>IFERROR(INDEX('T5 Other Dimensions'!$B$45:$B$48,MATCH(E30,'T5 Other Dimensions'!$C$45:$C$48,0)),-1)</f>
        <v/>
      </c>
      <c r="O30" s="25">
        <f>IFERROR(INDEX('T5 Other Dimensions'!$K$45:$K$48,MATCH(F30,'T5 Other Dimensions'!$L$45:$L$48,0)),-1)</f>
        <v/>
      </c>
      <c r="P30" s="25">
        <f>A30</f>
        <v/>
      </c>
      <c r="Q30" s="25">
        <f>G30</f>
        <v/>
      </c>
      <c r="R30" s="25">
        <f>H30</f>
        <v/>
      </c>
      <c r="S30" s="25" t="inlineStr">
        <is>
          <t>1</t>
        </is>
      </c>
      <c r="U30" s="48">
        <f>IFERROR(INDEX('T4 DimCity'!$K$6:$K$20,MATCH(K30,'T4 DimCity'!$I$6:$I$20,0)),"?")</f>
        <v/>
      </c>
      <c r="V30" s="48">
        <f>IFERROR(INDEX('T5 Other Dimensions'!$C$45:$C$48,MATCH(N30,'T5 Other Dimensions'!$B$45:$B$48,0)),"?")</f>
        <v/>
      </c>
    </row>
    <row r="31">
      <c r="A31" s="20" t="inlineStr">
        <is>
          <t>RD-504</t>
        </is>
      </c>
      <c r="B31" s="57" t="n">
        <v>46057</v>
      </c>
      <c r="C31" s="14" t="inlineStr">
        <is>
          <t>Multan</t>
        </is>
      </c>
      <c r="D31" s="14" t="inlineStr">
        <is>
          <t>Lahore</t>
        </is>
      </c>
      <c r="E31" s="36" t="inlineStr">
        <is>
          <t>Road</t>
        </is>
      </c>
      <c r="F31" s="14" t="inlineStr">
        <is>
          <t>Delivered</t>
        </is>
      </c>
      <c r="G31" s="22" t="n">
        <v>6900</v>
      </c>
      <c r="H31" s="22" t="n">
        <v>61000</v>
      </c>
      <c r="J31" s="25">
        <f>YEAR(B31)*10000+MONTH(B31)*100+DAY(B31)</f>
        <v/>
      </c>
      <c r="K31" s="25">
        <f>IFERROR(INDEX('T4 DimCity'!$I$6:$I$20,MATCH(INDEX('T4 DimCity'!$C$6:$C$28,MATCH(C31,'T4 DimCity'!$B$6:$B$28,0)),'T4 DimCity'!$J$6:$J$20,0)),-1)</f>
        <v/>
      </c>
      <c r="L31" s="25">
        <f>IFERROR(INDEX('T4 DimCity'!$I$6:$I$20,MATCH(INDEX('T4 DimCity'!$C$6:$C$28,MATCH(D31,'T4 DimCity'!$B$6:$B$28,0)),'T4 DimCity'!$J$6:$J$20,0)),-1)</f>
        <v/>
      </c>
      <c r="M31" s="25">
        <f>IFERROR(INDEX('T5 Other Dimensions'!$B$10:$B$30,MATCH(INDEX('T4 DimCity'!$C$6:$C$28,MATCH(C31,'T4 DimCity'!$B$6:$B$28,0))&amp;" -&gt; "&amp;INDEX('T4 DimCity'!$C$6:$C$28,MATCH(D31,'T4 DimCity'!$B$6:$B$28,0)),'T5 Other Dimensions'!$E$10:$E$30,0)),-1)</f>
        <v/>
      </c>
      <c r="N31" s="25">
        <f>IFERROR(INDEX('T5 Other Dimensions'!$B$45:$B$48,MATCH(E31,'T5 Other Dimensions'!$C$45:$C$48,0)),-1)</f>
        <v/>
      </c>
      <c r="O31" s="25">
        <f>IFERROR(INDEX('T5 Other Dimensions'!$K$45:$K$48,MATCH(F31,'T5 Other Dimensions'!$L$45:$L$48,0)),-1)</f>
        <v/>
      </c>
      <c r="P31" s="25">
        <f>A31</f>
        <v/>
      </c>
      <c r="Q31" s="25">
        <f>G31</f>
        <v/>
      </c>
      <c r="R31" s="25">
        <f>H31</f>
        <v/>
      </c>
      <c r="S31" s="25" t="inlineStr">
        <is>
          <t>1</t>
        </is>
      </c>
      <c r="U31" s="48">
        <f>IFERROR(INDEX('T4 DimCity'!$K$6:$K$20,MATCH(K31,'T4 DimCity'!$I$6:$I$20,0)),"?")</f>
        <v/>
      </c>
      <c r="V31" s="48">
        <f>IFERROR(INDEX('T5 Other Dimensions'!$C$45:$C$48,MATCH(N31,'T5 Other Dimensions'!$B$45:$B$48,0)),"?")</f>
        <v/>
      </c>
    </row>
    <row r="32">
      <c r="A32" s="20" t="inlineStr">
        <is>
          <t>RD-505</t>
        </is>
      </c>
      <c r="B32" s="57" t="n">
        <v>46058</v>
      </c>
      <c r="C32" s="14" t="inlineStr">
        <is>
          <t>Islamabad</t>
        </is>
      </c>
      <c r="D32" s="14" t="inlineStr">
        <is>
          <t>Peshawar</t>
        </is>
      </c>
      <c r="E32" s="36" t="inlineStr">
        <is>
          <t>Road</t>
        </is>
      </c>
      <c r="F32" s="14" t="inlineStr">
        <is>
          <t>Delivered</t>
        </is>
      </c>
      <c r="G32" s="22" t="n">
        <v>6100</v>
      </c>
      <c r="H32" s="22" t="n">
        <v>47000</v>
      </c>
      <c r="J32" s="25">
        <f>YEAR(B32)*10000+MONTH(B32)*100+DAY(B32)</f>
        <v/>
      </c>
      <c r="K32" s="25">
        <f>IFERROR(INDEX('T4 DimCity'!$I$6:$I$20,MATCH(INDEX('T4 DimCity'!$C$6:$C$28,MATCH(C32,'T4 DimCity'!$B$6:$B$28,0)),'T4 DimCity'!$J$6:$J$20,0)),-1)</f>
        <v/>
      </c>
      <c r="L32" s="25">
        <f>IFERROR(INDEX('T4 DimCity'!$I$6:$I$20,MATCH(INDEX('T4 DimCity'!$C$6:$C$28,MATCH(D32,'T4 DimCity'!$B$6:$B$28,0)),'T4 DimCity'!$J$6:$J$20,0)),-1)</f>
        <v/>
      </c>
      <c r="M32" s="25">
        <f>IFERROR(INDEX('T5 Other Dimensions'!$B$10:$B$30,MATCH(INDEX('T4 DimCity'!$C$6:$C$28,MATCH(C32,'T4 DimCity'!$B$6:$B$28,0))&amp;" -&gt; "&amp;INDEX('T4 DimCity'!$C$6:$C$28,MATCH(D32,'T4 DimCity'!$B$6:$B$28,0)),'T5 Other Dimensions'!$E$10:$E$30,0)),-1)</f>
        <v/>
      </c>
      <c r="N32" s="25">
        <f>IFERROR(INDEX('T5 Other Dimensions'!$B$45:$B$48,MATCH(E32,'T5 Other Dimensions'!$C$45:$C$48,0)),-1)</f>
        <v/>
      </c>
      <c r="O32" s="25">
        <f>IFERROR(INDEX('T5 Other Dimensions'!$K$45:$K$48,MATCH(F32,'T5 Other Dimensions'!$L$45:$L$48,0)),-1)</f>
        <v/>
      </c>
      <c r="P32" s="25">
        <f>A32</f>
        <v/>
      </c>
      <c r="Q32" s="25">
        <f>G32</f>
        <v/>
      </c>
      <c r="R32" s="25">
        <f>H32</f>
        <v/>
      </c>
      <c r="S32" s="25" t="inlineStr">
        <is>
          <t>1</t>
        </is>
      </c>
      <c r="U32" s="48">
        <f>IFERROR(INDEX('T4 DimCity'!$K$6:$K$20,MATCH(K32,'T4 DimCity'!$I$6:$I$20,0)),"?")</f>
        <v/>
      </c>
      <c r="V32" s="48">
        <f>IFERROR(INDEX('T5 Other Dimensions'!$C$45:$C$48,MATCH(N32,'T5 Other Dimensions'!$B$45:$B$48,0)),"?")</f>
        <v/>
      </c>
    </row>
    <row r="33">
      <c r="A33" s="20" t="inlineStr">
        <is>
          <t>RD-506</t>
        </is>
      </c>
      <c r="B33" s="57" t="n">
        <v>46059</v>
      </c>
      <c r="C33" s="14" t="inlineStr">
        <is>
          <t>Karachi</t>
        </is>
      </c>
      <c r="D33" s="14" t="inlineStr">
        <is>
          <t>Sukkur</t>
        </is>
      </c>
      <c r="E33" s="36" t="inlineStr">
        <is>
          <t>Road</t>
        </is>
      </c>
      <c r="F33" s="14" t="inlineStr">
        <is>
          <t>Delayed</t>
        </is>
      </c>
      <c r="G33" s="22" t="n">
        <v>7400</v>
      </c>
      <c r="H33" s="22" t="n">
        <v>83000</v>
      </c>
      <c r="J33" s="25">
        <f>YEAR(B33)*10000+MONTH(B33)*100+DAY(B33)</f>
        <v/>
      </c>
      <c r="K33" s="25">
        <f>IFERROR(INDEX('T4 DimCity'!$I$6:$I$20,MATCH(INDEX('T4 DimCity'!$C$6:$C$28,MATCH(C33,'T4 DimCity'!$B$6:$B$28,0)),'T4 DimCity'!$J$6:$J$20,0)),-1)</f>
        <v/>
      </c>
      <c r="L33" s="25">
        <f>IFERROR(INDEX('T4 DimCity'!$I$6:$I$20,MATCH(INDEX('T4 DimCity'!$C$6:$C$28,MATCH(D33,'T4 DimCity'!$B$6:$B$28,0)),'T4 DimCity'!$J$6:$J$20,0)),-1)</f>
        <v/>
      </c>
      <c r="M33" s="25">
        <f>IFERROR(INDEX('T5 Other Dimensions'!$B$10:$B$30,MATCH(INDEX('T4 DimCity'!$C$6:$C$28,MATCH(C33,'T4 DimCity'!$B$6:$B$28,0))&amp;" -&gt; "&amp;INDEX('T4 DimCity'!$C$6:$C$28,MATCH(D33,'T4 DimCity'!$B$6:$B$28,0)),'T5 Other Dimensions'!$E$10:$E$30,0)),-1)</f>
        <v/>
      </c>
      <c r="N33" s="25">
        <f>IFERROR(INDEX('T5 Other Dimensions'!$B$45:$B$48,MATCH(E33,'T5 Other Dimensions'!$C$45:$C$48,0)),-1)</f>
        <v/>
      </c>
      <c r="O33" s="25">
        <f>IFERROR(INDEX('T5 Other Dimensions'!$K$45:$K$48,MATCH(F33,'T5 Other Dimensions'!$L$45:$L$48,0)),-1)</f>
        <v/>
      </c>
      <c r="P33" s="25">
        <f>A33</f>
        <v/>
      </c>
      <c r="Q33" s="25">
        <f>G33</f>
        <v/>
      </c>
      <c r="R33" s="25">
        <f>H33</f>
        <v/>
      </c>
      <c r="S33" s="25" t="inlineStr">
        <is>
          <t>1</t>
        </is>
      </c>
      <c r="U33" s="48">
        <f>IFERROR(INDEX('T4 DimCity'!$K$6:$K$20,MATCH(K33,'T4 DimCity'!$I$6:$I$20,0)),"?")</f>
        <v/>
      </c>
      <c r="V33" s="48">
        <f>IFERROR(INDEX('T5 Other Dimensions'!$C$45:$C$48,MATCH(N33,'T5 Other Dimensions'!$B$45:$B$48,0)),"?")</f>
        <v/>
      </c>
    </row>
    <row r="34">
      <c r="A34" s="20" t="inlineStr">
        <is>
          <t>RD-507</t>
        </is>
      </c>
      <c r="B34" s="57" t="n">
        <v>46060</v>
      </c>
      <c r="C34" s="14" t="inlineStr">
        <is>
          <t>Lahore</t>
        </is>
      </c>
      <c r="D34" s="14" t="inlineStr">
        <is>
          <t>Sialkot</t>
        </is>
      </c>
      <c r="E34" s="36" t="inlineStr">
        <is>
          <t>Road</t>
        </is>
      </c>
      <c r="F34" s="14" t="inlineStr">
        <is>
          <t>Delivered</t>
        </is>
      </c>
      <c r="G34" s="22" t="n">
        <v>5900</v>
      </c>
      <c r="H34" s="22" t="n">
        <v>39000</v>
      </c>
      <c r="J34" s="25">
        <f>YEAR(B34)*10000+MONTH(B34)*100+DAY(B34)</f>
        <v/>
      </c>
      <c r="K34" s="25">
        <f>IFERROR(INDEX('T4 DimCity'!$I$6:$I$20,MATCH(INDEX('T4 DimCity'!$C$6:$C$28,MATCH(C34,'T4 DimCity'!$B$6:$B$28,0)),'T4 DimCity'!$J$6:$J$20,0)),-1)</f>
        <v/>
      </c>
      <c r="L34" s="25">
        <f>IFERROR(INDEX('T4 DimCity'!$I$6:$I$20,MATCH(INDEX('T4 DimCity'!$C$6:$C$28,MATCH(D34,'T4 DimCity'!$B$6:$B$28,0)),'T4 DimCity'!$J$6:$J$20,0)),-1)</f>
        <v/>
      </c>
      <c r="M34" s="25">
        <f>IFERROR(INDEX('T5 Other Dimensions'!$B$10:$B$30,MATCH(INDEX('T4 DimCity'!$C$6:$C$28,MATCH(C34,'T4 DimCity'!$B$6:$B$28,0))&amp;" -&gt; "&amp;INDEX('T4 DimCity'!$C$6:$C$28,MATCH(D34,'T4 DimCity'!$B$6:$B$28,0)),'T5 Other Dimensions'!$E$10:$E$30,0)),-1)</f>
        <v/>
      </c>
      <c r="N34" s="25">
        <f>IFERROR(INDEX('T5 Other Dimensions'!$B$45:$B$48,MATCH(E34,'T5 Other Dimensions'!$C$45:$C$48,0)),-1)</f>
        <v/>
      </c>
      <c r="O34" s="25">
        <f>IFERROR(INDEX('T5 Other Dimensions'!$K$45:$K$48,MATCH(F34,'T5 Other Dimensions'!$L$45:$L$48,0)),-1)</f>
        <v/>
      </c>
      <c r="P34" s="25">
        <f>A34</f>
        <v/>
      </c>
      <c r="Q34" s="25">
        <f>G34</f>
        <v/>
      </c>
      <c r="R34" s="25">
        <f>H34</f>
        <v/>
      </c>
      <c r="S34" s="25" t="inlineStr">
        <is>
          <t>1</t>
        </is>
      </c>
      <c r="U34" s="48">
        <f>IFERROR(INDEX('T4 DimCity'!$K$6:$K$20,MATCH(K34,'T4 DimCity'!$I$6:$I$20,0)),"?")</f>
        <v/>
      </c>
      <c r="V34" s="48">
        <f>IFERROR(INDEX('T5 Other Dimensions'!$C$45:$C$48,MATCH(N34,'T5 Other Dimensions'!$B$45:$B$48,0)),"?")</f>
        <v/>
      </c>
    </row>
    <row r="35">
      <c r="A35" s="20" t="inlineStr">
        <is>
          <t>RD-508</t>
        </is>
      </c>
      <c r="B35" s="57" t="n">
        <v>46062</v>
      </c>
      <c r="C35" s="14" t="inlineStr">
        <is>
          <t>Quetta</t>
        </is>
      </c>
      <c r="D35" s="14" t="inlineStr">
        <is>
          <t>Karachi</t>
        </is>
      </c>
      <c r="E35" s="36" t="inlineStr">
        <is>
          <t>Road</t>
        </is>
      </c>
      <c r="F35" s="14" t="inlineStr">
        <is>
          <t>In Transit</t>
        </is>
      </c>
      <c r="G35" s="22" t="n">
        <v>6600</v>
      </c>
      <c r="H35" s="22" t="n">
        <v>92000</v>
      </c>
      <c r="J35" s="25">
        <f>YEAR(B35)*10000+MONTH(B35)*100+DAY(B35)</f>
        <v/>
      </c>
      <c r="K35" s="25">
        <f>IFERROR(INDEX('T4 DimCity'!$I$6:$I$20,MATCH(INDEX('T4 DimCity'!$C$6:$C$28,MATCH(C35,'T4 DimCity'!$B$6:$B$28,0)),'T4 DimCity'!$J$6:$J$20,0)),-1)</f>
        <v/>
      </c>
      <c r="L35" s="25">
        <f>IFERROR(INDEX('T4 DimCity'!$I$6:$I$20,MATCH(INDEX('T4 DimCity'!$C$6:$C$28,MATCH(D35,'T4 DimCity'!$B$6:$B$28,0)),'T4 DimCity'!$J$6:$J$20,0)),-1)</f>
        <v/>
      </c>
      <c r="M35" s="25">
        <f>IFERROR(INDEX('T5 Other Dimensions'!$B$10:$B$30,MATCH(INDEX('T4 DimCity'!$C$6:$C$28,MATCH(C35,'T4 DimCity'!$B$6:$B$28,0))&amp;" -&gt; "&amp;INDEX('T4 DimCity'!$C$6:$C$28,MATCH(D35,'T4 DimCity'!$B$6:$B$28,0)),'T5 Other Dimensions'!$E$10:$E$30,0)),-1)</f>
        <v/>
      </c>
      <c r="N35" s="25">
        <f>IFERROR(INDEX('T5 Other Dimensions'!$B$45:$B$48,MATCH(E35,'T5 Other Dimensions'!$C$45:$C$48,0)),-1)</f>
        <v/>
      </c>
      <c r="O35" s="25">
        <f>IFERROR(INDEX('T5 Other Dimensions'!$K$45:$K$48,MATCH(F35,'T5 Other Dimensions'!$L$45:$L$48,0)),-1)</f>
        <v/>
      </c>
      <c r="P35" s="25">
        <f>A35</f>
        <v/>
      </c>
      <c r="Q35" s="25">
        <f>G35</f>
        <v/>
      </c>
      <c r="R35" s="25">
        <f>H35</f>
        <v/>
      </c>
      <c r="S35" s="25" t="inlineStr">
        <is>
          <t>1</t>
        </is>
      </c>
      <c r="U35" s="48">
        <f>IFERROR(INDEX('T4 DimCity'!$K$6:$K$20,MATCH(K35,'T4 DimCity'!$I$6:$I$20,0)),"?")</f>
        <v/>
      </c>
      <c r="V35" s="48">
        <f>IFERROR(INDEX('T5 Other Dimensions'!$C$45:$C$48,MATCH(N35,'T5 Other Dimensions'!$B$45:$B$48,0)),"?")</f>
        <v/>
      </c>
    </row>
    <row r="36">
      <c r="A36" s="20" t="inlineStr">
        <is>
          <t>RD-509</t>
        </is>
      </c>
      <c r="B36" s="57" t="n">
        <v>46063</v>
      </c>
      <c r="C36" s="14" t="inlineStr">
        <is>
          <t>Faisalabad</t>
        </is>
      </c>
      <c r="D36" s="14" t="inlineStr">
        <is>
          <t>Multan</t>
        </is>
      </c>
      <c r="E36" s="36" t="inlineStr">
        <is>
          <t>Road</t>
        </is>
      </c>
      <c r="F36" s="14" t="inlineStr">
        <is>
          <t>Delivered</t>
        </is>
      </c>
      <c r="G36" s="22" t="n">
        <v>6200</v>
      </c>
      <c r="H36" s="22" t="n">
        <v>44000</v>
      </c>
      <c r="J36" s="25">
        <f>YEAR(B36)*10000+MONTH(B36)*100+DAY(B36)</f>
        <v/>
      </c>
      <c r="K36" s="25">
        <f>IFERROR(INDEX('T4 DimCity'!$I$6:$I$20,MATCH(INDEX('T4 DimCity'!$C$6:$C$28,MATCH(C36,'T4 DimCity'!$B$6:$B$28,0)),'T4 DimCity'!$J$6:$J$20,0)),-1)</f>
        <v/>
      </c>
      <c r="L36" s="25">
        <f>IFERROR(INDEX('T4 DimCity'!$I$6:$I$20,MATCH(INDEX('T4 DimCity'!$C$6:$C$28,MATCH(D36,'T4 DimCity'!$B$6:$B$28,0)),'T4 DimCity'!$J$6:$J$20,0)),-1)</f>
        <v/>
      </c>
      <c r="M36" s="25">
        <f>IFERROR(INDEX('T5 Other Dimensions'!$B$10:$B$30,MATCH(INDEX('T4 DimCity'!$C$6:$C$28,MATCH(C36,'T4 DimCity'!$B$6:$B$28,0))&amp;" -&gt; "&amp;INDEX('T4 DimCity'!$C$6:$C$28,MATCH(D36,'T4 DimCity'!$B$6:$B$28,0)),'T5 Other Dimensions'!$E$10:$E$30,0)),-1)</f>
        <v/>
      </c>
      <c r="N36" s="25">
        <f>IFERROR(INDEX('T5 Other Dimensions'!$B$45:$B$48,MATCH(E36,'T5 Other Dimensions'!$C$45:$C$48,0)),-1)</f>
        <v/>
      </c>
      <c r="O36" s="25">
        <f>IFERROR(INDEX('T5 Other Dimensions'!$K$45:$K$48,MATCH(F36,'T5 Other Dimensions'!$L$45:$L$48,0)),-1)</f>
        <v/>
      </c>
      <c r="P36" s="25">
        <f>A36</f>
        <v/>
      </c>
      <c r="Q36" s="25">
        <f>G36</f>
        <v/>
      </c>
      <c r="R36" s="25">
        <f>H36</f>
        <v/>
      </c>
      <c r="S36" s="25" t="inlineStr">
        <is>
          <t>1</t>
        </is>
      </c>
      <c r="U36" s="48">
        <f>IFERROR(INDEX('T4 DimCity'!$K$6:$K$20,MATCH(K36,'T4 DimCity'!$I$6:$I$20,0)),"?")</f>
        <v/>
      </c>
      <c r="V36" s="48">
        <f>IFERROR(INDEX('T5 Other Dimensions'!$C$45:$C$48,MATCH(N36,'T5 Other Dimensions'!$B$45:$B$48,0)),"?")</f>
        <v/>
      </c>
    </row>
    <row r="37">
      <c r="A37" s="20" t="inlineStr">
        <is>
          <t>RD-510</t>
        </is>
      </c>
      <c r="B37" s="57" t="n">
        <v>46064</v>
      </c>
      <c r="C37" s="14" t="inlineStr">
        <is>
          <t>Lahore</t>
        </is>
      </c>
      <c r="D37" s="14" t="inlineStr">
        <is>
          <t>Gujranwala</t>
        </is>
      </c>
      <c r="E37" s="36" t="inlineStr">
        <is>
          <t>Road</t>
        </is>
      </c>
      <c r="F37" s="14" t="inlineStr">
        <is>
          <t>Delivered</t>
        </is>
      </c>
      <c r="G37" s="22" t="n">
        <v>7000</v>
      </c>
      <c r="H37" s="22" t="n">
        <v>27000</v>
      </c>
      <c r="J37" s="25">
        <f>YEAR(B37)*10000+MONTH(B37)*100+DAY(B37)</f>
        <v/>
      </c>
      <c r="K37" s="25">
        <f>IFERROR(INDEX('T4 DimCity'!$I$6:$I$20,MATCH(INDEX('T4 DimCity'!$C$6:$C$28,MATCH(C37,'T4 DimCity'!$B$6:$B$28,0)),'T4 DimCity'!$J$6:$J$20,0)),-1)</f>
        <v/>
      </c>
      <c r="L37" s="25">
        <f>IFERROR(INDEX('T4 DimCity'!$I$6:$I$20,MATCH(INDEX('T4 DimCity'!$C$6:$C$28,MATCH(D37,'T4 DimCity'!$B$6:$B$28,0)),'T4 DimCity'!$J$6:$J$20,0)),-1)</f>
        <v/>
      </c>
      <c r="M37" s="25">
        <f>IFERROR(INDEX('T5 Other Dimensions'!$B$10:$B$30,MATCH(INDEX('T4 DimCity'!$C$6:$C$28,MATCH(C37,'T4 DimCity'!$B$6:$B$28,0))&amp;" -&gt; "&amp;INDEX('T4 DimCity'!$C$6:$C$28,MATCH(D37,'T4 DimCity'!$B$6:$B$28,0)),'T5 Other Dimensions'!$E$10:$E$30,0)),-1)</f>
        <v/>
      </c>
      <c r="N37" s="25">
        <f>IFERROR(INDEX('T5 Other Dimensions'!$B$45:$B$48,MATCH(E37,'T5 Other Dimensions'!$C$45:$C$48,0)),-1)</f>
        <v/>
      </c>
      <c r="O37" s="25">
        <f>IFERROR(INDEX('T5 Other Dimensions'!$K$45:$K$48,MATCH(F37,'T5 Other Dimensions'!$L$45:$L$48,0)),-1)</f>
        <v/>
      </c>
      <c r="P37" s="25">
        <f>A37</f>
        <v/>
      </c>
      <c r="Q37" s="25">
        <f>G37</f>
        <v/>
      </c>
      <c r="R37" s="25">
        <f>H37</f>
        <v/>
      </c>
      <c r="S37" s="25" t="inlineStr">
        <is>
          <t>1</t>
        </is>
      </c>
      <c r="U37" s="48">
        <f>IFERROR(INDEX('T4 DimCity'!$K$6:$K$20,MATCH(K37,'T4 DimCity'!$I$6:$I$20,0)),"?")</f>
        <v/>
      </c>
      <c r="V37" s="48">
        <f>IFERROR(INDEX('T5 Other Dimensions'!$C$45:$C$48,MATCH(N37,'T5 Other Dimensions'!$B$45:$B$48,0)),"?")</f>
        <v/>
      </c>
    </row>
    <row r="38">
      <c r="A38" s="20" t="inlineStr">
        <is>
          <t>RD-511</t>
        </is>
      </c>
      <c r="B38" s="57" t="n">
        <v>46065</v>
      </c>
      <c r="C38" s="14" t="inlineStr">
        <is>
          <t>Karachi</t>
        </is>
      </c>
      <c r="D38" s="14" t="inlineStr">
        <is>
          <t>Hyderabad</t>
        </is>
      </c>
      <c r="E38" s="36" t="inlineStr">
        <is>
          <t>Road</t>
        </is>
      </c>
      <c r="F38" s="14" t="inlineStr">
        <is>
          <t>In Transit</t>
        </is>
      </c>
      <c r="G38" s="22" t="n">
        <v>5500</v>
      </c>
      <c r="H38" s="22" t="n">
        <v>36000</v>
      </c>
      <c r="J38" s="25">
        <f>YEAR(B38)*10000+MONTH(B38)*100+DAY(B38)</f>
        <v/>
      </c>
      <c r="K38" s="25">
        <f>IFERROR(INDEX('T4 DimCity'!$I$6:$I$20,MATCH(INDEX('T4 DimCity'!$C$6:$C$28,MATCH(C38,'T4 DimCity'!$B$6:$B$28,0)),'T4 DimCity'!$J$6:$J$20,0)),-1)</f>
        <v/>
      </c>
      <c r="L38" s="25">
        <f>IFERROR(INDEX('T4 DimCity'!$I$6:$I$20,MATCH(INDEX('T4 DimCity'!$C$6:$C$28,MATCH(D38,'T4 DimCity'!$B$6:$B$28,0)),'T4 DimCity'!$J$6:$J$20,0)),-1)</f>
        <v/>
      </c>
      <c r="M38" s="25">
        <f>IFERROR(INDEX('T5 Other Dimensions'!$B$10:$B$30,MATCH(INDEX('T4 DimCity'!$C$6:$C$28,MATCH(C38,'T4 DimCity'!$B$6:$B$28,0))&amp;" -&gt; "&amp;INDEX('T4 DimCity'!$C$6:$C$28,MATCH(D38,'T4 DimCity'!$B$6:$B$28,0)),'T5 Other Dimensions'!$E$10:$E$30,0)),-1)</f>
        <v/>
      </c>
      <c r="N38" s="25">
        <f>IFERROR(INDEX('T5 Other Dimensions'!$B$45:$B$48,MATCH(E38,'T5 Other Dimensions'!$C$45:$C$48,0)),-1)</f>
        <v/>
      </c>
      <c r="O38" s="25">
        <f>IFERROR(INDEX('T5 Other Dimensions'!$K$45:$K$48,MATCH(F38,'T5 Other Dimensions'!$L$45:$L$48,0)),-1)</f>
        <v/>
      </c>
      <c r="P38" s="25">
        <f>A38</f>
        <v/>
      </c>
      <c r="Q38" s="25">
        <f>G38</f>
        <v/>
      </c>
      <c r="R38" s="25">
        <f>H38</f>
        <v/>
      </c>
      <c r="S38" s="25" t="inlineStr">
        <is>
          <t>1</t>
        </is>
      </c>
      <c r="U38" s="48">
        <f>IFERROR(INDEX('T4 DimCity'!$K$6:$K$20,MATCH(K38,'T4 DimCity'!$I$6:$I$20,0)),"?")</f>
        <v/>
      </c>
      <c r="V38" s="48">
        <f>IFERROR(INDEX('T5 Other Dimensions'!$C$45:$C$48,MATCH(N38,'T5 Other Dimensions'!$B$45:$B$48,0)),"?")</f>
        <v/>
      </c>
    </row>
    <row r="39">
      <c r="A39" s="20" t="inlineStr">
        <is>
          <t>RD-512</t>
        </is>
      </c>
      <c r="B39" s="57" t="n">
        <v>46066</v>
      </c>
      <c r="C39" s="14" t="inlineStr">
        <is>
          <t>Rawalpindi</t>
        </is>
      </c>
      <c r="D39" s="14" t="inlineStr">
        <is>
          <t>Abbottabad</t>
        </is>
      </c>
      <c r="E39" s="36" t="inlineStr">
        <is>
          <t>Road</t>
        </is>
      </c>
      <c r="F39" s="14" t="inlineStr">
        <is>
          <t>Delivered</t>
        </is>
      </c>
      <c r="G39" s="22" t="n">
        <v>5800</v>
      </c>
      <c r="H39" s="22" t="n">
        <v>45000</v>
      </c>
      <c r="J39" s="25">
        <f>YEAR(B39)*10000+MONTH(B39)*100+DAY(B39)</f>
        <v/>
      </c>
      <c r="K39" s="25">
        <f>IFERROR(INDEX('T4 DimCity'!$I$6:$I$20,MATCH(INDEX('T4 DimCity'!$C$6:$C$28,MATCH(C39,'T4 DimCity'!$B$6:$B$28,0)),'T4 DimCity'!$J$6:$J$20,0)),-1)</f>
        <v/>
      </c>
      <c r="L39" s="25">
        <f>IFERROR(INDEX('T4 DimCity'!$I$6:$I$20,MATCH(INDEX('T4 DimCity'!$C$6:$C$28,MATCH(D39,'T4 DimCity'!$B$6:$B$28,0)),'T4 DimCity'!$J$6:$J$20,0)),-1)</f>
        <v/>
      </c>
      <c r="M39" s="25">
        <f>IFERROR(INDEX('T5 Other Dimensions'!$B$10:$B$30,MATCH(INDEX('T4 DimCity'!$C$6:$C$28,MATCH(C39,'T4 DimCity'!$B$6:$B$28,0))&amp;" -&gt; "&amp;INDEX('T4 DimCity'!$C$6:$C$28,MATCH(D39,'T4 DimCity'!$B$6:$B$28,0)),'T5 Other Dimensions'!$E$10:$E$30,0)),-1)</f>
        <v/>
      </c>
      <c r="N39" s="25">
        <f>IFERROR(INDEX('T5 Other Dimensions'!$B$45:$B$48,MATCH(E39,'T5 Other Dimensions'!$C$45:$C$48,0)),-1)</f>
        <v/>
      </c>
      <c r="O39" s="25">
        <f>IFERROR(INDEX('T5 Other Dimensions'!$K$45:$K$48,MATCH(F39,'T5 Other Dimensions'!$L$45:$L$48,0)),-1)</f>
        <v/>
      </c>
      <c r="P39" s="25">
        <f>A39</f>
        <v/>
      </c>
      <c r="Q39" s="25">
        <f>G39</f>
        <v/>
      </c>
      <c r="R39" s="25">
        <f>H39</f>
        <v/>
      </c>
      <c r="S39" s="25" t="inlineStr">
        <is>
          <t>1</t>
        </is>
      </c>
      <c r="U39" s="48">
        <f>IFERROR(INDEX('T4 DimCity'!$K$6:$K$20,MATCH(K39,'T4 DimCity'!$I$6:$I$20,0)),"?")</f>
        <v/>
      </c>
      <c r="V39" s="48">
        <f>IFERROR(INDEX('T5 Other Dimensions'!$C$45:$C$48,MATCH(N39,'T5 Other Dimensions'!$B$45:$B$48,0)),"?")</f>
        <v/>
      </c>
    </row>
    <row r="40">
      <c r="P40" s="11" t="inlineStr">
        <is>
          <t>TOTAL</t>
        </is>
      </c>
      <c r="Q40" s="23">
        <f>SUM(Q6:Q39)</f>
        <v/>
      </c>
      <c r="R40" s="23">
        <f>SUM(R6:R39)</f>
        <v/>
      </c>
      <c r="S40" s="49">
        <f>SUM(S6:S39)</f>
        <v/>
      </c>
    </row>
    <row r="42" ht="26" customHeight="1">
      <c r="A42" s="24" t="inlineStr">
        <is>
          <t>Columns U and V are a scratch pad, NOT part of the fact table. Excel has no relationships, so T7 needs the province and the mode name as text to build a matrix with SUMIFS. In Power BI the relationship does this for you and these two columns must not exist in your .pbix — if they do, you have put descriptive text back into a fact table and undone the whole exercise.</t>
        </is>
      </c>
    </row>
    <row r="44" ht="22" customHeight="1">
      <c r="A44" s="3" t="inlineStr">
        <is>
          <t>THE THREE QUESTIONS THIS TASK IS REALLY ASKING</t>
        </is>
      </c>
    </row>
    <row r="45" ht="26" customHeight="1">
      <c r="A45" s="26" t="inlineStr">
        <is>
          <t>Every lookup above is wrapped in IFERROR(…, -1) instead of being left to fail. Name what that buys you and what it costs you.</t>
        </is>
      </c>
      <c r="B45" s="59" t="n"/>
      <c r="C45" s="59" t="n"/>
      <c r="D45" s="59" t="n"/>
      <c r="E45" s="59" t="n"/>
      <c r="F45" s="59" t="n"/>
      <c r="G45" s="59" t="n"/>
      <c r="H45" s="58" t="n"/>
      <c r="J45" s="19" t="inlineStr">
        <is>
          <t>IFERROR(...,-1) preserves every leg and makes missing context visible under the Unknown key; it can hide a bad mapping, so monitor Unknown counts and investigate them.</t>
        </is>
      </c>
      <c r="K45" s="59" t="n"/>
      <c r="L45" s="59" t="n"/>
      <c r="M45" s="59" t="n"/>
      <c r="N45" s="59" t="n"/>
      <c r="O45" s="59" t="n"/>
      <c r="P45" s="59" t="n"/>
      <c r="Q45" s="59" t="n"/>
      <c r="R45" s="59" t="n"/>
      <c r="S45" s="59" t="n"/>
      <c r="T45" s="59" t="n"/>
      <c r="U45" s="59" t="n"/>
      <c r="V45" s="58" t="n"/>
    </row>
    <row r="46" ht="26" customHeight="1">
      <c r="A46" s="60" t="n"/>
      <c r="B46" s="62" t="n"/>
      <c r="C46" s="62" t="n"/>
      <c r="D46" s="62" t="n"/>
      <c r="E46" s="62" t="n"/>
      <c r="F46" s="62" t="n"/>
      <c r="G46" s="62" t="n"/>
      <c r="H46" s="61" t="n"/>
      <c r="J46" s="60" t="n"/>
      <c r="K46" s="62" t="n"/>
      <c r="L46" s="62" t="n"/>
      <c r="M46" s="62" t="n"/>
      <c r="N46" s="62" t="n"/>
      <c r="O46" s="62" t="n"/>
      <c r="P46" s="62" t="n"/>
      <c r="Q46" s="62" t="n"/>
      <c r="R46" s="62" t="n"/>
      <c r="S46" s="62" t="n"/>
      <c r="T46" s="62" t="n"/>
      <c r="U46" s="62" t="n"/>
      <c r="V46" s="61" t="n"/>
    </row>
    <row r="47" ht="26" customHeight="1">
      <c r="A47" s="26" t="inlineStr">
        <is>
          <t>Columns C to F still hold the text. Why do they not cross the gap into the fact table?</t>
        </is>
      </c>
      <c r="B47" s="59" t="n"/>
      <c r="C47" s="59" t="n"/>
      <c r="D47" s="59" t="n"/>
      <c r="E47" s="59" t="n"/>
      <c r="F47" s="59" t="n"/>
      <c r="G47" s="59" t="n"/>
      <c r="H47" s="58" t="n"/>
      <c r="J47" s="19" t="inlineStr">
        <is>
          <t>Those fields describe the shipment. Store each description once in its dimension and keep only integer foreign keys plus the degenerate ShipmentID and numeric measures in the fact.</t>
        </is>
      </c>
      <c r="K47" s="59" t="n"/>
      <c r="L47" s="59" t="n"/>
      <c r="M47" s="59" t="n"/>
      <c r="N47" s="59" t="n"/>
      <c r="O47" s="59" t="n"/>
      <c r="P47" s="59" t="n"/>
      <c r="Q47" s="59" t="n"/>
      <c r="R47" s="59" t="n"/>
      <c r="S47" s="59" t="n"/>
      <c r="T47" s="59" t="n"/>
      <c r="U47" s="59" t="n"/>
      <c r="V47" s="58" t="n"/>
    </row>
    <row r="48" ht="26" customHeight="1">
      <c r="A48" s="60" t="n"/>
      <c r="B48" s="62" t="n"/>
      <c r="C48" s="62" t="n"/>
      <c r="D48" s="62" t="n"/>
      <c r="E48" s="62" t="n"/>
      <c r="F48" s="62" t="n"/>
      <c r="G48" s="62" t="n"/>
      <c r="H48" s="61" t="n"/>
      <c r="J48" s="60" t="n"/>
      <c r="K48" s="62" t="n"/>
      <c r="L48" s="62" t="n"/>
      <c r="M48" s="62" t="n"/>
      <c r="N48" s="62" t="n"/>
      <c r="O48" s="62" t="n"/>
      <c r="P48" s="62" t="n"/>
      <c r="Q48" s="62" t="n"/>
      <c r="R48" s="62" t="n"/>
      <c r="S48" s="62" t="n"/>
      <c r="T48" s="62" t="n"/>
      <c r="U48" s="62" t="n"/>
      <c r="V48" s="61" t="n"/>
    </row>
    <row r="49" ht="26" customHeight="1">
      <c r="A49" s="26" t="inlineStr">
        <is>
          <t>ShipmentID is in the fact table but joins to nothing. Defend keeping it.</t>
        </is>
      </c>
      <c r="B49" s="59" t="n"/>
      <c r="C49" s="59" t="n"/>
      <c r="D49" s="59" t="n"/>
      <c r="E49" s="59" t="n"/>
      <c r="F49" s="59" t="n"/>
      <c r="G49" s="59" t="n"/>
      <c r="H49" s="58" t="n"/>
      <c r="J49" s="19" t="inlineStr">
        <is>
          <t>ShipmentID is the degenerate dimension: it preserves the source transaction reference for drill-through, auditing and traceability, even without its own descriptive dimension.</t>
        </is>
      </c>
      <c r="K49" s="59" t="n"/>
      <c r="L49" s="59" t="n"/>
      <c r="M49" s="59" t="n"/>
      <c r="N49" s="59" t="n"/>
      <c r="O49" s="59" t="n"/>
      <c r="P49" s="59" t="n"/>
      <c r="Q49" s="59" t="n"/>
      <c r="R49" s="59" t="n"/>
      <c r="S49" s="59" t="n"/>
      <c r="T49" s="59" t="n"/>
      <c r="U49" s="59" t="n"/>
      <c r="V49" s="58" t="n"/>
    </row>
    <row r="50" ht="26" customHeight="1">
      <c r="A50" s="60" t="n"/>
      <c r="B50" s="62" t="n"/>
      <c r="C50" s="62" t="n"/>
      <c r="D50" s="62" t="n"/>
      <c r="E50" s="62" t="n"/>
      <c r="F50" s="62" t="n"/>
      <c r="G50" s="62" t="n"/>
      <c r="H50" s="61" t="n"/>
      <c r="J50" s="60" t="n"/>
      <c r="K50" s="62" t="n"/>
      <c r="L50" s="62" t="n"/>
      <c r="M50" s="62" t="n"/>
      <c r="N50" s="62" t="n"/>
      <c r="O50" s="62" t="n"/>
      <c r="P50" s="62" t="n"/>
      <c r="Q50" s="62" t="n"/>
      <c r="R50" s="62" t="n"/>
      <c r="S50" s="62" t="n"/>
      <c r="T50" s="62" t="n"/>
      <c r="U50" s="62" t="n"/>
      <c r="V50" s="61" t="n"/>
    </row>
    <row r="52" ht="26" customHeight="1">
      <c r="A52" s="24" t="inlineStr">
        <is>
          <t>Marking, 15 marks: six key columns correct 9 · measures and degenerate key 3 · the three questions 3. A hard-typed key column instead of a lookup scores zero for that column — the point is the join, not the digit.</t>
        </is>
      </c>
    </row>
  </sheetData>
  <mergeCells count="15">
    <mergeCell ref="A2:V2"/>
    <mergeCell ref="A4:H4"/>
    <mergeCell ref="A52:V52"/>
    <mergeCell ref="J45:V46"/>
    <mergeCell ref="A42:V42"/>
    <mergeCell ref="J49:V50"/>
    <mergeCell ref="A44:V44"/>
    <mergeCell ref="A47:H48"/>
    <mergeCell ref="A1:V1"/>
    <mergeCell ref="A45:H46"/>
    <mergeCell ref="J4:S4"/>
    <mergeCell ref="A49:H50"/>
    <mergeCell ref="J47:V48"/>
    <mergeCell ref="A3:V3"/>
    <mergeCell ref="U4:V4"/>
  </mergeCells>
  <pageMargins left="0.75" right="0.75" top="1" bottom="1" header="0.5" footer="0.5"/>
</worksheet>
</file>

<file path=xl/worksheets/sheet9.xml><?xml version="1.0" encoding="utf-8"?>
<worksheet xmlns="http://schemas.openxmlformats.org/spreadsheetml/2006/main">
  <sheetPr>
    <tabColor rgb="0000704F"/>
    <outlinePr summaryBelow="1" summaryRight="1"/>
    <pageSetUpPr/>
  </sheetPr>
  <dimension ref="A1:F38"/>
  <sheetViews>
    <sheetView showGridLines="0" workbookViewId="0">
      <pane ySplit="4" topLeftCell="A5" activePane="bottomLeft" state="frozen"/>
      <selection pane="bottomLeft" activeCell="A1" sqref="A1"/>
    </sheetView>
  </sheetViews>
  <sheetFormatPr baseColWidth="8" defaultRowHeight="15"/>
  <cols>
    <col width="5" customWidth="1" min="1" max="1"/>
    <col width="40" customWidth="1" min="2" max="2"/>
    <col width="16" customWidth="1" min="3" max="3"/>
    <col width="16" customWidth="1" min="4" max="4"/>
    <col width="11" customWidth="1" min="5" max="5"/>
    <col width="70" customWidth="1" min="6" max="6"/>
    <col width="3" customWidth="1" min="7" max="7"/>
  </cols>
  <sheetData>
    <row r="1" ht="30" customHeight="1">
      <c r="A1" s="1" t="inlineStr">
        <is>
          <t>T7  ·  Reconcile  —  Thirteen Checks, All Thirteen Must Pass</t>
        </is>
      </c>
    </row>
    <row r="2" ht="30" customHeight="1">
      <c r="A2" s="2" t="inlineStr">
        <is>
          <t>The reshaping must not change a single kilogram. Reconciliation is not a formality: it is the last moment at which you can still find the mistake cheaply.</t>
        </is>
      </c>
    </row>
    <row r="4" ht="30" customHeight="1">
      <c r="A4" s="6" t="inlineStr">
        <is>
          <t>#</t>
        </is>
      </c>
      <c r="B4" s="6" t="inlineStr">
        <is>
          <t>Check</t>
        </is>
      </c>
      <c r="C4" s="6" t="inlineStr">
        <is>
          <t>Expected</t>
        </is>
      </c>
      <c r="D4" s="6" t="inlineStr">
        <is>
          <t>Your result</t>
        </is>
      </c>
      <c r="E4" s="6" t="inlineStr">
        <is>
          <t>Pass?</t>
        </is>
      </c>
      <c r="F4" s="6" t="inlineStr">
        <is>
          <t>If it does not match, look here first</t>
        </is>
      </c>
    </row>
    <row r="5" ht="30" customHeight="1">
      <c r="A5" s="9" t="n">
        <v>1</v>
      </c>
      <c r="B5" s="8" t="inlineStr">
        <is>
          <t>Row count of FactShipment</t>
        </is>
      </c>
      <c r="C5" s="50" t="n">
        <v>34</v>
      </c>
      <c r="D5" s="51">
        <f>COUNT('T6 FactShipment'!$J$6:$J$39)</f>
        <v/>
      </c>
      <c r="E5" s="9">
        <f>IF(D5=C5,"✔ pass","✘ fix")</f>
        <v/>
      </c>
      <c r="F5" s="10" t="inlineStr">
        <is>
          <t>You dropped rows in a lookup, or you duplicated one to fit a dimension. A changed row count means the grain moved.</t>
        </is>
      </c>
    </row>
    <row r="6" ht="30" customHeight="1">
      <c r="A6" s="9" t="n">
        <v>2</v>
      </c>
      <c r="B6" s="8" t="inlineStr">
        <is>
          <t>Grand total, WeightKG</t>
        </is>
      </c>
      <c r="C6" s="50" t="n">
        <v>578650</v>
      </c>
      <c r="D6" s="51">
        <f>SUM('T6 FactShipment'!$Q$6:$Q$39)</f>
        <v/>
      </c>
      <c r="E6" s="9">
        <f>IF(D6=C6,"✔ pass","✘ fix")</f>
        <v/>
      </c>
      <c r="F6" s="10" t="inlineStr">
        <is>
          <t>Rail is still in tonnes (a factor of 1,000 missing), or the rd-505 duplicate came back, or the Road TOTAL row survived staging.</t>
        </is>
      </c>
    </row>
    <row r="7" ht="30" customHeight="1">
      <c r="A7" s="9" t="n">
        <v>3</v>
      </c>
      <c r="B7" s="8" t="inlineStr">
        <is>
          <t>Grand total, FreightCostPKR</t>
        </is>
      </c>
      <c r="C7" s="50" t="n">
        <v>4808000</v>
      </c>
      <c r="D7" s="51">
        <f>SUM('T6 FactShipment'!$R$6:$R$39)</f>
        <v/>
      </c>
      <c r="E7" s="9">
        <f>IF(D7=C7,"✔ pass","✘ fix")</f>
        <v/>
      </c>
      <c r="F7" s="10" t="inlineStr">
        <is>
          <t>Same causes as the weight check. Costs are additive currency — there is no rounding excuse.</t>
        </is>
      </c>
    </row>
    <row r="8" ht="30" customHeight="1">
      <c r="A8" s="9" t="n">
        <v>4</v>
      </c>
      <c r="B8" s="8" t="inlineStr">
        <is>
          <t>Shipment legs (SUM of Count)</t>
        </is>
      </c>
      <c r="C8" s="50" t="n">
        <v>34</v>
      </c>
      <c r="D8" s="51">
        <f>SUM('T6 FactShipment'!$S$6:$S$39)</f>
        <v/>
      </c>
      <c r="E8" s="9">
        <f>IF(D8=C8,"✔ pass","✘ fix")</f>
        <v/>
      </c>
      <c r="F8" s="10" t="inlineStr">
        <is>
          <t>A measure problem, not a data problem — check that ShipmentCount is 1 on every row, including the last one.</t>
        </is>
      </c>
    </row>
    <row r="9" ht="30" customHeight="1">
      <c r="A9" s="9" t="n">
        <v>5</v>
      </c>
      <c r="B9" s="8" t="inlineStr">
        <is>
          <t>Distinct ShipmentID values</t>
        </is>
      </c>
      <c r="C9" s="50" t="n">
        <v>34</v>
      </c>
      <c r="D9" s="51">
        <f>SUMPRODUCT(('T6 FactShipment'!$P$6:$P$39&lt;&gt;"")/COUNTIF('T6 FactShipment'!$P$6:$P$39,'T6 FactShipment'!$P$6:$P$39&amp;""))</f>
        <v/>
      </c>
      <c r="E9" s="9">
        <f>IF(D9=C9,"✔ pass","✘ fix")</f>
        <v/>
      </c>
      <c r="F9" s="10" t="inlineStr">
        <is>
          <t>Equal to the leg count here because no consignment was split. The day they differ, the grain sentence has to say which one a row is.</t>
        </is>
      </c>
    </row>
    <row r="10" ht="30" customHeight="1">
      <c r="A10" s="9" t="n">
        <v>6</v>
      </c>
      <c r="B10" s="8" t="inlineStr">
        <is>
          <t>Rows in DimCity (excluding Unknown)</t>
        </is>
      </c>
      <c r="C10" s="50" t="n">
        <v>14</v>
      </c>
      <c r="D10" s="51">
        <f>COUNTIF('T4 DimCity'!$I$6:$I$20,"&gt;0")</f>
        <v/>
      </c>
      <c r="E10" s="9">
        <f>IF(D10=C10,"✔ pass","✘ fix")</f>
        <v/>
      </c>
      <c r="F10" s="10" t="inlineStr">
        <is>
          <t>Your conforming map is incomplete — you still have 23, or some number in between.</t>
        </is>
      </c>
    </row>
    <row r="11" ht="30" customHeight="1">
      <c r="A11" s="9" t="n">
        <v>7</v>
      </c>
      <c r="B11" s="8" t="inlineStr">
        <is>
          <t>Rows in DimRoute (excluding Unknown)</t>
        </is>
      </c>
      <c r="C11" s="50" t="n">
        <v>20</v>
      </c>
      <c r="D11" s="51">
        <f>COUNTIF('T5 Other Dimensions'!$B$10:$B$30,"&gt;0")</f>
        <v/>
      </c>
      <c r="E11" s="9">
        <f>IF(D11=C11,"✔ pass","✘ fix")</f>
        <v/>
      </c>
      <c r="F11" s="10" t="inlineStr">
        <is>
          <t>30 means you deduplicated the raw strings instead of the conformed city keys. Go back to T5 Block A.</t>
        </is>
      </c>
    </row>
    <row r="12" ht="30" customHeight="1">
      <c r="A12" s="9" t="n">
        <v>8</v>
      </c>
      <c r="B12" s="8" t="inlineStr">
        <is>
          <t>Rows in DimDate</t>
        </is>
      </c>
      <c r="C12" s="50" t="n">
        <v>28</v>
      </c>
      <c r="D12" s="51">
        <f>COUNTA('T5 Other Dimensions'!$C$53:$C$80)</f>
        <v/>
      </c>
      <c r="E12" s="9">
        <f>IF(D12=C12,"✔ pass","✘ fix")</f>
        <v/>
      </c>
      <c r="F12" s="10" t="inlineStr">
        <is>
          <t>12 means you generated only the dates that appear in the fact table. A date dimension with holes breaks every time-intelligence function.</t>
        </is>
      </c>
    </row>
    <row r="13" ht="30" customHeight="1">
      <c r="A13" s="9" t="n">
        <v>9</v>
      </c>
      <c r="B13" s="8" t="inlineStr">
        <is>
          <t>WeightKG for Sindh / Marine</t>
        </is>
      </c>
      <c r="C13" s="50" t="n">
        <v>169000</v>
      </c>
      <c r="D13" s="51">
        <f>SUMIFS('T6 FactShipment'!$Q$6:$Q$39,'T6 FactShipment'!$U$6:$U$39,"Sindh",'T6 FactShipment'!$V$6:$V$39,"Marine")</f>
        <v/>
      </c>
      <c r="E13" s="9">
        <f>IF(D13=C13,"✔ pass","✘ fix")</f>
        <v/>
      </c>
      <c r="F13" s="10" t="inlineStr">
        <is>
          <t>If you got 206,500 you mapped Gwadar Port to Karachi. Gwadar is in Balochistan, and it is the one conforming decision students get wrong most often.</t>
        </is>
      </c>
    </row>
    <row r="14" ht="30" customHeight="1">
      <c r="A14" s="9" t="n">
        <v>10</v>
      </c>
      <c r="B14" s="8" t="inlineStr">
        <is>
          <t>WeightKG for Punjab / Road</t>
        </is>
      </c>
      <c r="C14" s="50" t="n">
        <v>44100</v>
      </c>
      <c r="D14" s="51">
        <f>SUMIFS('T6 FactShipment'!$Q$6:$Q$39,'T6 FactShipment'!$U$6:$U$39,"Punjab",'T6 FactShipment'!$V$6:$V$39,"Road")</f>
        <v/>
      </c>
      <c r="E14" s="9">
        <f>IF(D14=C14,"✔ pass","✘ fix")</f>
        <v/>
      </c>
      <c r="F14" s="10" t="inlineStr">
        <is>
          <t>Check that Lahore, Faisalabad, Multan, Sialkot, Gujranwala and Rawalpindi all map to Punjab — and that Islamabad does NOT.</t>
        </is>
      </c>
    </row>
    <row r="15" ht="30" customHeight="1">
      <c r="A15" s="9" t="n">
        <v>11</v>
      </c>
      <c r="B15" s="8" t="inlineStr">
        <is>
          <t>WeightKG for Sindh, all modes</t>
        </is>
      </c>
      <c r="C15" s="50" t="n">
        <v>484350</v>
      </c>
      <c r="D15" s="51">
        <f>SUMIFS('T6 FactShipment'!$Q$6:$Q$39,'T6 FactShipment'!$U$6:$U$39,"Sindh")</f>
        <v/>
      </c>
      <c r="E15" s="9">
        <f>IF(D15=C15,"✔ pass","✘ fix")</f>
        <v/>
      </c>
      <c r="F15" s="10" t="inlineStr">
        <is>
          <t>83.7% of everything PakFreight moved. If it is lower, some Karachi alias is still its own city.</t>
        </is>
      </c>
    </row>
    <row r="16" ht="30" customHeight="1">
      <c r="A16" s="9" t="n">
        <v>12</v>
      </c>
      <c r="B16" s="8" t="inlineStr">
        <is>
          <t>Fact rows pointing at an Unknown key (-1)</t>
        </is>
      </c>
      <c r="C16" s="50" t="n">
        <v>0</v>
      </c>
      <c r="D16" s="51">
        <f>COUNTIF('T6 FactShipment'!$K$6:$K$39,-1)+COUNTIF('T6 FactShipment'!$L$6:$L$39,-1)+COUNTIF('T6 FactShipment'!$M$6:$M$39,-1)+COUNTIF('T6 FactShipment'!$N$6:$N$39,-1)+COUNTIF('T6 FactShipment'!$O$6:$O$39,-1)</f>
        <v/>
      </c>
      <c r="E16" s="9">
        <f>IF(D16=C16,"✔ pass","✘ fix")</f>
        <v/>
      </c>
      <c r="F16" s="10" t="inlineStr">
        <is>
          <t>A lookup failed and IFERROR caught it. Which column, and which row? The -1 row exists so this is a number you can read, not a row you lost.</t>
        </is>
      </c>
    </row>
    <row r="17" ht="30" customHeight="1">
      <c r="A17" s="9" t="n">
        <v>13</v>
      </c>
      <c r="B17" s="8" t="inlineStr">
        <is>
          <t>Cost per KG, grand total</t>
        </is>
      </c>
      <c r="C17" s="52" t="n">
        <v>8.31</v>
      </c>
      <c r="D17" s="67">
        <f>SUM('T6 FactShipment'!$R$6:$R$39)/SUM('T6 FactShipment'!$Q$6:$Q$39)</f>
        <v/>
      </c>
      <c r="E17" s="9">
        <f>IF(ABS(D17-C17)&lt;=0.005,"✔ pass","✘ fix")</f>
        <v/>
      </c>
      <c r="F17" s="10" t="inlineStr">
        <is>
          <t>8.06 means you averaged a ratio instead of dividing two sums. See T3 — this is the same 3% error, now wearing a dashboard.</t>
        </is>
      </c>
    </row>
    <row r="19">
      <c r="B19" s="54" t="inlineStr">
        <is>
          <t>CHECKS PASSING</t>
        </is>
      </c>
      <c r="C19" s="55">
        <f>COUNTIF(E5:E17,"✔*")&amp;" / 13"</f>
        <v/>
      </c>
      <c r="D19" s="55">
        <f>IF(COUNTIF(E5:E17,"✔*")=13,"✔ SUBMIT","✘ NOT YET")</f>
        <v/>
      </c>
      <c r="F19" s="10" t="inlineStr">
        <is>
          <t>Submitting with a single red cell loses all 8 marks for this task. Thirteen out of thirteen, or it is not done.</t>
        </is>
      </c>
    </row>
    <row r="21" ht="22" customHeight="1">
      <c r="A21" s="3" t="inlineStr">
        <is>
          <t>THE DELIVERABLE MATRIX  ·  TONNAGE BY ORIGIN PROVINCE AND MODE</t>
        </is>
      </c>
    </row>
    <row r="22">
      <c r="A22" s="33" t="inlineStr">
        <is>
          <t>Build this in Power BI too: Province on rows, Mode on columns, Total Weight KG in values. The grand total must read 578,650 kg exactly.</t>
        </is>
      </c>
    </row>
    <row r="23" ht="30" customHeight="1">
      <c r="A23" s="6" t="inlineStr"/>
      <c r="B23" s="6" t="inlineStr">
        <is>
          <t>Origin province</t>
        </is>
      </c>
      <c r="C23" s="6" t="inlineStr">
        <is>
          <t>Marine</t>
        </is>
      </c>
      <c r="D23" s="6" t="inlineStr">
        <is>
          <t>Rail</t>
        </is>
      </c>
      <c r="E23" s="6" t="inlineStr">
        <is>
          <t>Road</t>
        </is>
      </c>
      <c r="F23" s="6" t="inlineStr">
        <is>
          <t>Total</t>
        </is>
      </c>
    </row>
    <row r="24">
      <c r="B24" s="8" t="inlineStr">
        <is>
          <t>Sindh</t>
        </is>
      </c>
      <c r="C24" s="51">
        <f>SUMIFS('T6 FactShipment'!$Q$6:$Q$39,'T6 FactShipment'!$U$6:$U$39,$B24,'T6 FactShipment'!$V$6:$V$39,"Marine")</f>
        <v/>
      </c>
      <c r="D24" s="51">
        <f>SUMIFS('T6 FactShipment'!$Q$6:$Q$39,'T6 FactShipment'!$U$6:$U$39,$B24,'T6 FactShipment'!$V$6:$V$39,"Rail")</f>
        <v/>
      </c>
      <c r="E24" s="51">
        <f>SUMIFS('T6 FactShipment'!$Q$6:$Q$39,'T6 FactShipment'!$U$6:$U$39,$B24,'T6 FactShipment'!$V$6:$V$39,"Road")</f>
        <v/>
      </c>
      <c r="F24" s="50">
        <f>SUM(C24:E24)</f>
        <v/>
      </c>
    </row>
    <row r="25">
      <c r="B25" s="8" t="inlineStr">
        <is>
          <t>Punjab</t>
        </is>
      </c>
      <c r="C25" s="51">
        <f>SUMIFS('T6 FactShipment'!$Q$6:$Q$39,'T6 FactShipment'!$U$6:$U$39,$B25,'T6 FactShipment'!$V$6:$V$39,"Marine")</f>
        <v/>
      </c>
      <c r="D25" s="51">
        <f>SUMIFS('T6 FactShipment'!$Q$6:$Q$39,'T6 FactShipment'!$U$6:$U$39,$B25,'T6 FactShipment'!$V$6:$V$39,"Rail")</f>
        <v/>
      </c>
      <c r="E25" s="51">
        <f>SUMIFS('T6 FactShipment'!$Q$6:$Q$39,'T6 FactShipment'!$U$6:$U$39,$B25,'T6 FactShipment'!$V$6:$V$39,"Road")</f>
        <v/>
      </c>
      <c r="F25" s="50">
        <f>SUM(C25:E25)</f>
        <v/>
      </c>
    </row>
    <row r="26">
      <c r="B26" s="8" t="inlineStr">
        <is>
          <t>Balochistan</t>
        </is>
      </c>
      <c r="C26" s="51">
        <f>SUMIFS('T6 FactShipment'!$Q$6:$Q$39,'T6 FactShipment'!$U$6:$U$39,$B26,'T6 FactShipment'!$V$6:$V$39,"Marine")</f>
        <v/>
      </c>
      <c r="D26" s="51">
        <f>SUMIFS('T6 FactShipment'!$Q$6:$Q$39,'T6 FactShipment'!$U$6:$U$39,$B26,'T6 FactShipment'!$V$6:$V$39,"Rail")</f>
        <v/>
      </c>
      <c r="E26" s="51">
        <f>SUMIFS('T6 FactShipment'!$Q$6:$Q$39,'T6 FactShipment'!$U$6:$U$39,$B26,'T6 FactShipment'!$V$6:$V$39,"Road")</f>
        <v/>
      </c>
      <c r="F26" s="50">
        <f>SUM(C26:E26)</f>
        <v/>
      </c>
    </row>
    <row r="27">
      <c r="B27" s="8" t="inlineStr">
        <is>
          <t>Khyber Pakhtunkhwa</t>
        </is>
      </c>
      <c r="C27" s="51">
        <f>SUMIFS('T6 FactShipment'!$Q$6:$Q$39,'T6 FactShipment'!$U$6:$U$39,$B27,'T6 FactShipment'!$V$6:$V$39,"Marine")</f>
        <v/>
      </c>
      <c r="D27" s="51">
        <f>SUMIFS('T6 FactShipment'!$Q$6:$Q$39,'T6 FactShipment'!$U$6:$U$39,$B27,'T6 FactShipment'!$V$6:$V$39,"Rail")</f>
        <v/>
      </c>
      <c r="E27" s="51">
        <f>SUMIFS('T6 FactShipment'!$Q$6:$Q$39,'T6 FactShipment'!$U$6:$U$39,$B27,'T6 FactShipment'!$V$6:$V$39,"Road")</f>
        <v/>
      </c>
      <c r="F27" s="50">
        <f>SUM(C27:E27)</f>
        <v/>
      </c>
    </row>
    <row r="28">
      <c r="B28" s="8" t="inlineStr">
        <is>
          <t>Islamabad ICT</t>
        </is>
      </c>
      <c r="C28" s="51">
        <f>SUMIFS('T6 FactShipment'!$Q$6:$Q$39,'T6 FactShipment'!$U$6:$U$39,$B28,'T6 FactShipment'!$V$6:$V$39,"Marine")</f>
        <v/>
      </c>
      <c r="D28" s="51">
        <f>SUMIFS('T6 FactShipment'!$Q$6:$Q$39,'T6 FactShipment'!$U$6:$U$39,$B28,'T6 FactShipment'!$V$6:$V$39,"Rail")</f>
        <v/>
      </c>
      <c r="E28" s="51">
        <f>SUMIFS('T6 FactShipment'!$Q$6:$Q$39,'T6 FactShipment'!$U$6:$U$39,$B28,'T6 FactShipment'!$V$6:$V$39,"Road")</f>
        <v/>
      </c>
      <c r="F28" s="50">
        <f>SUM(C28:E28)</f>
        <v/>
      </c>
    </row>
    <row r="29">
      <c r="B29" s="11" t="inlineStr">
        <is>
          <t>Grand total</t>
        </is>
      </c>
      <c r="C29" s="50">
        <f>SUM(C24:C28)</f>
        <v/>
      </c>
      <c r="D29" s="50">
        <f>SUM(D24:D28)</f>
        <v/>
      </c>
      <c r="E29" s="50">
        <f>SUM(E24:E28)</f>
        <v/>
      </c>
      <c r="F29" s="50">
        <f>SUM(F24:F28)</f>
        <v/>
      </c>
    </row>
    <row r="30">
      <c r="B30" s="56" t="inlineStr">
        <is>
          <t>Reconciles to 578,650?</t>
        </is>
      </c>
      <c r="F30" s="9">
        <f>IF(F29=578650,"✔ pass","✘ fix")</f>
        <v/>
      </c>
    </row>
    <row r="31" ht="26" customHeight="1">
      <c r="A31" s="24" t="inlineStr">
        <is>
          <t>Read the Khyber Pakhtunkhwa row: zero. PakFreight moved 61,900 kg INTO Peshawar and Abbottabad in February and nothing out of them, and this matrix is built on OriginCityKey. The number is correct, and the conclusion a reader draws from it — 'KP is not part of our network' — is false. A role-playing dimension is exactly this: the same DimCity answers two different questions, and the active relationship silently decides which one you asked. Rebuild the matrix on DestCityKey and KP reads 61,900 kg. In Power BI that is the USERELATIONSHIP bonus on slide 47.</t>
        </is>
      </c>
    </row>
    <row r="33" ht="22" customHeight="1">
      <c r="A33" s="3" t="inlineStr">
        <is>
          <t>THE LAST QUESTION  ·  WRITE IT BEFORE YOU SUBMIT</t>
        </is>
      </c>
    </row>
    <row r="34" ht="28" customHeight="1">
      <c r="A34" s="26" t="inlineStr">
        <is>
          <t>Every one of the thirteen checks above passes and your matrix totals 578,650 kg. In two or three lines: name one thing that could still be wrong with this model that no check on this sheet would ever catch.</t>
        </is>
      </c>
      <c r="B34" s="58" t="n"/>
      <c r="C34" s="19" t="inlineStr">
        <is>
          <t>A model can pass every arithmetic check and still encode the wrong business meaning—for example, an incorrect corridor/distance-band rule or an agreed city/facility merge that misrepresents how operations make decisions. Reconciliation proves totals and keys, not that every editorial definition matches business reality.</t>
        </is>
      </c>
      <c r="D34" s="59" t="n"/>
      <c r="E34" s="59" t="n"/>
      <c r="F34" s="58" t="n"/>
    </row>
    <row r="35" ht="28" customHeight="1">
      <c r="A35" s="63" t="n"/>
      <c r="B35" s="64" t="n"/>
      <c r="C35" s="63" t="n"/>
      <c r="F35" s="64" t="n"/>
    </row>
    <row r="36" ht="28" customHeight="1">
      <c r="A36" s="60" t="n"/>
      <c r="B36" s="61" t="n"/>
      <c r="C36" s="60" t="n"/>
      <c r="D36" s="62" t="n"/>
      <c r="E36" s="62" t="n"/>
      <c r="F36" s="61" t="n"/>
    </row>
    <row r="38" ht="26" customHeight="1">
      <c r="A38" s="24" t="inlineStr">
        <is>
          <t>Marking, 8 marks: thirteen checks passing 5 (all or nothing) · the matrix 1 · the last question 2.</t>
        </is>
      </c>
    </row>
  </sheetData>
  <mergeCells count="10">
    <mergeCell ref="A38:F38"/>
    <mergeCell ref="A2:F2"/>
    <mergeCell ref="A33:F33"/>
    <mergeCell ref="A34:B36"/>
    <mergeCell ref="A1:F1"/>
    <mergeCell ref="A31:F31"/>
    <mergeCell ref="C34:F36"/>
    <mergeCell ref="A22:F22"/>
    <mergeCell ref="F19"/>
    <mergeCell ref="A21:F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2026-10-10T02:25:05Z</dcterms:created>
  <dcterms:modified xmlns:dcterms="http://purl.org/dc/terms/" xmlns:xsi="http://www.w3.org/2001/XMLSchema-instance" xsi:type="dcterms:W3CDTF">2026-10-17T08:54:23Z</dcterms:modified>
</cp:coreProperties>
</file>